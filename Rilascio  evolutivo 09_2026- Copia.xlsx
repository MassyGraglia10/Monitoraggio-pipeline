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updateLinks="always" codeName="Questa_cartella_di_lavoro"/>
  <mc:AlternateContent xmlns:mc="http://schemas.openxmlformats.org/markup-compatibility/2006">
    <mc:Choice Requires="x15">
      <x15ac:absPath xmlns:x15ac="http://schemas.microsoft.com/office/spreadsheetml/2010/11/ac" url="C:\Monitoraggio Pipeline\"/>
    </mc:Choice>
  </mc:AlternateContent>
  <xr:revisionPtr revIDLastSave="0" documentId="13_ncr:1_{B871E750-95D4-4D9B-B6BD-D3DA5ED380B4}" xr6:coauthVersionLast="47" xr6:coauthVersionMax="47" xr10:uidLastSave="{00000000-0000-0000-0000-000000000000}"/>
  <bookViews>
    <workbookView xWindow="-108" yWindow="-108" windowWidth="23256" windowHeight="12456" tabRatio="901" xr2:uid="{00000000-000D-0000-FFFF-FFFF00000000}"/>
  </bookViews>
  <sheets>
    <sheet name="Elenco_ADO_IKAN" sheetId="1" r:id="rId1"/>
    <sheet name="Elenco_SR" sheetId="30" r:id="rId2"/>
    <sheet name="Applicazioni" sheetId="26" r:id="rId3"/>
    <sheet name="Vincoli" sheetId="16" r:id="rId4"/>
    <sheet name="App Mainframe o Tuxedo" sheetId="17" r:id="rId5"/>
    <sheet name="App Windows o Linux" sheetId="18" r:id="rId6"/>
    <sheet name="Attività per HD2-UNIX" sheetId="19" r:id="rId7"/>
    <sheet name="Attività per HD2-SYSTEMS" sheetId="20" r:id="rId8"/>
    <sheet name="Attività per HD2-DBA-ORACLE" sheetId="21" r:id="rId9"/>
    <sheet name="Attività per HD2-DBA-SQL" sheetId="22" r:id="rId10"/>
    <sheet name="PEGA" sheetId="23" r:id="rId11"/>
    <sheet name="Schedulazione" sheetId="24" r:id="rId12"/>
  </sheets>
  <externalReferences>
    <externalReference r:id="rId13"/>
    <externalReference r:id="rId14"/>
  </externalReferences>
  <definedNames>
    <definedName name="_xlnm._FilterDatabase" localSheetId="4" hidden="1">'App Mainframe o Tuxedo'!#REF!</definedName>
    <definedName name="_xlnm._FilterDatabase" localSheetId="5" hidden="1">'App Windows o Linux'!#REF!</definedName>
    <definedName name="_xlnm._FilterDatabase" localSheetId="8" hidden="1">'Attività per HD2-DBA-ORACLE'!#REF!</definedName>
    <definedName name="_xlnm._FilterDatabase" localSheetId="9" hidden="1">'Attività per HD2-DBA-SQL'!#REF!</definedName>
    <definedName name="_xlnm._FilterDatabase" localSheetId="7" hidden="1">'Attività per HD2-SYSTEMS'!#REF!</definedName>
    <definedName name="_xlnm._FilterDatabase" localSheetId="6" hidden="1">'Attività per HD2-UNIX'!#REF!</definedName>
    <definedName name="_xlnm._FilterDatabase" localSheetId="0" hidden="1">Elenco_ADO_IKAN!$C$2:$P$157</definedName>
    <definedName name="_xlnm._FilterDatabase" localSheetId="11" hidden="1">Schedulazione!#REF!</definedName>
    <definedName name="_Hlk160785108" localSheetId="5">'App Windows o Linux'!#REF!</definedName>
    <definedName name="_Hlk185324047" localSheetId="5">'App Windows o Linux'!#REF!</definedName>
    <definedName name="DeployMode">#REF!</definedName>
    <definedName name="ListaApp" localSheetId="0">#REF!</definedName>
    <definedName name="OLE_LINK1" localSheetId="0">Elenco_ADO_IKAN!#REF!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1" i="1" l="1" a="1"/>
  <c r="G41" i="1" s="1"/>
  <c r="D41" i="1" s="1" a="1"/>
  <c r="D41" i="1" s="1"/>
  <c r="E51" i="1" a="1"/>
  <c r="E51" i="1" s="1"/>
  <c r="E49" i="1" a="1"/>
  <c r="E49" i="1" s="1"/>
  <c r="E48" i="1" a="1"/>
  <c r="E48" i="1" s="1"/>
  <c r="E47" i="1" a="1"/>
  <c r="E47" i="1" s="1"/>
  <c r="E46" i="1" a="1"/>
  <c r="E46" i="1" s="1"/>
  <c r="E45" i="1" a="1"/>
  <c r="E45" i="1" s="1"/>
  <c r="E44" i="1" a="1"/>
  <c r="E44" i="1" s="1"/>
  <c r="E42" i="1" a="1"/>
  <c r="E42" i="1" s="1"/>
  <c r="E41" i="1" a="1"/>
  <c r="E41" i="1" s="1"/>
  <c r="E40" i="1" a="1"/>
  <c r="E40" i="1" s="1"/>
  <c r="E39" i="1" a="1"/>
  <c r="E39" i="1" s="1"/>
  <c r="E38" i="1" a="1"/>
  <c r="E38" i="1" s="1"/>
  <c r="E37" i="1" a="1"/>
  <c r="E37" i="1" s="1"/>
  <c r="E36" i="1" a="1"/>
  <c r="E36" i="1" s="1"/>
  <c r="E35" i="1" a="1"/>
  <c r="E35" i="1" s="1"/>
  <c r="E33" i="1" a="1"/>
  <c r="E33" i="1" s="1"/>
  <c r="E32" i="1" a="1"/>
  <c r="E32" i="1" s="1"/>
  <c r="E31" i="1" a="1"/>
  <c r="E31" i="1" s="1"/>
  <c r="E30" i="1" a="1"/>
  <c r="E30" i="1" s="1"/>
  <c r="E29" i="1" a="1"/>
  <c r="E29" i="1" s="1"/>
  <c r="E28" i="1" a="1"/>
  <c r="E28" i="1" s="1"/>
  <c r="E27" i="1" a="1"/>
  <c r="E27" i="1" s="1"/>
  <c r="E26" i="1" a="1"/>
  <c r="E26" i="1" s="1"/>
  <c r="E25" i="1" a="1"/>
  <c r="E25" i="1" s="1"/>
  <c r="E24" i="1" a="1"/>
  <c r="E24" i="1" s="1"/>
  <c r="E23" i="1" a="1"/>
  <c r="E23" i="1" s="1"/>
  <c r="E22" i="1" a="1"/>
  <c r="E22" i="1" s="1"/>
  <c r="E21" i="1" a="1"/>
  <c r="E21" i="1" s="1"/>
  <c r="E20" i="1" a="1"/>
  <c r="E20" i="1" s="1"/>
  <c r="E19" i="1" a="1"/>
  <c r="E19" i="1" s="1"/>
  <c r="E18" i="1" a="1"/>
  <c r="E18" i="1" s="1"/>
  <c r="E17" i="1" a="1"/>
  <c r="E17" i="1" s="1"/>
  <c r="E16" i="1" a="1"/>
  <c r="E16" i="1" s="1"/>
  <c r="E15" i="1" a="1"/>
  <c r="E15" i="1" s="1"/>
  <c r="E14" i="1" a="1"/>
  <c r="E14" i="1" s="1"/>
  <c r="E13" i="1" a="1"/>
  <c r="E13" i="1" s="1"/>
  <c r="E12" i="1" a="1"/>
  <c r="E12" i="1" s="1"/>
  <c r="E11" i="1" a="1"/>
  <c r="E11" i="1" s="1"/>
  <c r="E10" i="1" a="1"/>
  <c r="E10" i="1" s="1"/>
  <c r="E9" i="1" a="1"/>
  <c r="E9" i="1" s="1"/>
  <c r="E8" i="1" a="1"/>
  <c r="E8" i="1" s="1"/>
  <c r="E7" i="1" a="1"/>
  <c r="E7" i="1" s="1"/>
  <c r="E6" i="1" a="1"/>
  <c r="E6" i="1" s="1"/>
  <c r="E5" i="1" a="1"/>
  <c r="E5" i="1" s="1"/>
  <c r="E4" i="1" a="1"/>
  <c r="E4" i="1" s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AA4" i="1" a="1"/>
  <c r="AA4" i="1" s="1"/>
  <c r="AC4" i="1" a="1"/>
  <c r="AC4" i="1" s="1"/>
  <c r="AD4" i="1" a="1"/>
  <c r="AD4" i="1" s="1"/>
  <c r="AA5" i="1" a="1"/>
  <c r="AA5" i="1" s="1"/>
  <c r="AC5" i="1" a="1"/>
  <c r="AC5" i="1" s="1"/>
  <c r="AD5" i="1" a="1"/>
  <c r="AD5" i="1" s="1"/>
  <c r="AA6" i="1" a="1"/>
  <c r="AA6" i="1" s="1"/>
  <c r="AC6" i="1" a="1"/>
  <c r="AC6" i="1" s="1"/>
  <c r="AD6" i="1" a="1"/>
  <c r="AD6" i="1" s="1"/>
  <c r="AA7" i="1" a="1"/>
  <c r="AA7" i="1" s="1"/>
  <c r="AC7" i="1" a="1"/>
  <c r="AC7" i="1" s="1"/>
  <c r="AD7" i="1" a="1"/>
  <c r="AD7" i="1" s="1"/>
  <c r="AA8" i="1" a="1"/>
  <c r="AA8" i="1" s="1"/>
  <c r="AC8" i="1" a="1"/>
  <c r="AC8" i="1" s="1"/>
  <c r="AD8" i="1" a="1"/>
  <c r="AD8" i="1" s="1"/>
  <c r="AA9" i="1" a="1"/>
  <c r="AA9" i="1" s="1"/>
  <c r="AC9" i="1" a="1"/>
  <c r="AC9" i="1" s="1"/>
  <c r="AD9" i="1" a="1"/>
  <c r="AD9" i="1" s="1"/>
  <c r="AA10" i="1" a="1"/>
  <c r="AA10" i="1" s="1"/>
  <c r="AC10" i="1" a="1"/>
  <c r="AC10" i="1" s="1"/>
  <c r="AD10" i="1" a="1"/>
  <c r="AD10" i="1" s="1"/>
  <c r="AA11" i="1" a="1"/>
  <c r="AA11" i="1" s="1"/>
  <c r="AC11" i="1" a="1"/>
  <c r="AC11" i="1" s="1"/>
  <c r="AD11" i="1" a="1"/>
  <c r="AD11" i="1" s="1"/>
  <c r="AA12" i="1" a="1"/>
  <c r="AA12" i="1" s="1"/>
  <c r="AC12" i="1" a="1"/>
  <c r="AC12" i="1" s="1"/>
  <c r="AD12" i="1" a="1"/>
  <c r="AD12" i="1" s="1"/>
  <c r="AA13" i="1" a="1"/>
  <c r="AA13" i="1" s="1"/>
  <c r="AC13" i="1" a="1"/>
  <c r="AC13" i="1" s="1"/>
  <c r="AD13" i="1" a="1"/>
  <c r="AD13" i="1" s="1"/>
  <c r="AA14" i="1" a="1"/>
  <c r="AA14" i="1" s="1"/>
  <c r="AC14" i="1" a="1"/>
  <c r="AC14" i="1" s="1"/>
  <c r="AD14" i="1" a="1"/>
  <c r="AD14" i="1" s="1"/>
  <c r="AA15" i="1" a="1"/>
  <c r="AA15" i="1" s="1"/>
  <c r="AC15" i="1" a="1"/>
  <c r="AC15" i="1" s="1"/>
  <c r="AD15" i="1" a="1"/>
  <c r="AD15" i="1" s="1"/>
  <c r="AA16" i="1" a="1"/>
  <c r="AA16" i="1" s="1"/>
  <c r="AC16" i="1" a="1"/>
  <c r="AC16" i="1" s="1"/>
  <c r="AD16" i="1" a="1"/>
  <c r="AD16" i="1" s="1"/>
  <c r="AA17" i="1" a="1"/>
  <c r="AA17" i="1" s="1"/>
  <c r="AC17" i="1" a="1"/>
  <c r="AC17" i="1" s="1"/>
  <c r="AD17" i="1" a="1"/>
  <c r="AD17" i="1" s="1"/>
  <c r="AA18" i="1" a="1"/>
  <c r="AA18" i="1" s="1"/>
  <c r="AC18" i="1" a="1"/>
  <c r="AC18" i="1" s="1"/>
  <c r="AD18" i="1" a="1"/>
  <c r="AD18" i="1" s="1"/>
  <c r="AA19" i="1" a="1"/>
  <c r="AA19" i="1" s="1"/>
  <c r="AC19" i="1" a="1"/>
  <c r="AC19" i="1" s="1"/>
  <c r="AD19" i="1" a="1"/>
  <c r="AD19" i="1" s="1"/>
  <c r="AA20" i="1" a="1"/>
  <c r="AA20" i="1" s="1"/>
  <c r="AC20" i="1" a="1"/>
  <c r="AC20" i="1" s="1"/>
  <c r="AD20" i="1" a="1"/>
  <c r="AD20" i="1" s="1"/>
  <c r="AA21" i="1" a="1"/>
  <c r="AA21" i="1" s="1"/>
  <c r="AC21" i="1" a="1"/>
  <c r="AC21" i="1" s="1"/>
  <c r="AD21" i="1" a="1"/>
  <c r="AD21" i="1" s="1"/>
  <c r="AA22" i="1" a="1"/>
  <c r="AA22" i="1" s="1"/>
  <c r="AC22" i="1" a="1"/>
  <c r="AC22" i="1" s="1"/>
  <c r="AD22" i="1" a="1"/>
  <c r="AD22" i="1" s="1"/>
  <c r="AA23" i="1" a="1"/>
  <c r="AA23" i="1" s="1"/>
  <c r="AC23" i="1" a="1"/>
  <c r="AC23" i="1" s="1"/>
  <c r="AD23" i="1" a="1"/>
  <c r="AD23" i="1" s="1"/>
  <c r="AA24" i="1" a="1"/>
  <c r="AA24" i="1" s="1"/>
  <c r="AC24" i="1" a="1"/>
  <c r="AC24" i="1" s="1"/>
  <c r="AD24" i="1" a="1"/>
  <c r="AD24" i="1" s="1"/>
  <c r="AA25" i="1" a="1"/>
  <c r="AA25" i="1" s="1"/>
  <c r="AC25" i="1" a="1"/>
  <c r="AC25" i="1" s="1"/>
  <c r="AD25" i="1" a="1"/>
  <c r="AD25" i="1" s="1"/>
  <c r="AA26" i="1" a="1"/>
  <c r="AA26" i="1" s="1"/>
  <c r="AC26" i="1" a="1"/>
  <c r="AC26" i="1" s="1"/>
  <c r="AD26" i="1" a="1"/>
  <c r="AD26" i="1" s="1"/>
  <c r="AA27" i="1" a="1"/>
  <c r="AA27" i="1" s="1"/>
  <c r="AC27" i="1" a="1"/>
  <c r="AC27" i="1" s="1"/>
  <c r="AD27" i="1" a="1"/>
  <c r="AD27" i="1" s="1"/>
  <c r="AA28" i="1" a="1"/>
  <c r="AA28" i="1" s="1"/>
  <c r="AC28" i="1" a="1"/>
  <c r="AC28" i="1" s="1"/>
  <c r="AD28" i="1" a="1"/>
  <c r="AD28" i="1" s="1"/>
  <c r="AA29" i="1" a="1"/>
  <c r="AA29" i="1" s="1"/>
  <c r="AC29" i="1" a="1"/>
  <c r="AC29" i="1" s="1"/>
  <c r="AD29" i="1" a="1"/>
  <c r="AD29" i="1" s="1"/>
  <c r="AA30" i="1" a="1"/>
  <c r="AA30" i="1" s="1"/>
  <c r="AC30" i="1" a="1"/>
  <c r="AC30" i="1" s="1"/>
  <c r="AD30" i="1" a="1"/>
  <c r="AD30" i="1" s="1"/>
  <c r="AA31" i="1" a="1"/>
  <c r="AA31" i="1" s="1"/>
  <c r="AC31" i="1" a="1"/>
  <c r="AC31" i="1" s="1"/>
  <c r="AD31" i="1" a="1"/>
  <c r="AD31" i="1" s="1"/>
  <c r="AA32" i="1" a="1"/>
  <c r="AA32" i="1" s="1"/>
  <c r="AC32" i="1" a="1"/>
  <c r="AC32" i="1" s="1"/>
  <c r="AD32" i="1" a="1"/>
  <c r="AD32" i="1" s="1"/>
  <c r="AA33" i="1" a="1"/>
  <c r="AA33" i="1" s="1"/>
  <c r="AC33" i="1" a="1"/>
  <c r="AC33" i="1" s="1"/>
  <c r="AD33" i="1" a="1"/>
  <c r="AD33" i="1" s="1"/>
  <c r="AA34" i="1" a="1"/>
  <c r="AA34" i="1" s="1"/>
  <c r="AB34" i="1" s="1" a="1"/>
  <c r="AB34" i="1" s="1"/>
  <c r="AC34" i="1" a="1"/>
  <c r="AC34" i="1" s="1"/>
  <c r="AD34" i="1" a="1"/>
  <c r="AD34" i="1" s="1"/>
  <c r="AA35" i="1" a="1"/>
  <c r="AA35" i="1" s="1"/>
  <c r="AC35" i="1" a="1"/>
  <c r="AC35" i="1" s="1"/>
  <c r="AD35" i="1" a="1"/>
  <c r="AD35" i="1" s="1"/>
  <c r="AA36" i="1" a="1"/>
  <c r="AA36" i="1" s="1"/>
  <c r="AC36" i="1" a="1"/>
  <c r="AC36" i="1" s="1"/>
  <c r="AD36" i="1" a="1"/>
  <c r="AD36" i="1" s="1"/>
  <c r="AA37" i="1" a="1"/>
  <c r="AA37" i="1" s="1"/>
  <c r="AC37" i="1" a="1"/>
  <c r="AC37" i="1" s="1"/>
  <c r="AD37" i="1" a="1"/>
  <c r="AD37" i="1" s="1"/>
  <c r="AA38" i="1" a="1"/>
  <c r="AA38" i="1" s="1"/>
  <c r="AC38" i="1" a="1"/>
  <c r="AC38" i="1" s="1"/>
  <c r="AD38" i="1" a="1"/>
  <c r="AD38" i="1" s="1"/>
  <c r="AA39" i="1" a="1"/>
  <c r="AA39" i="1" s="1"/>
  <c r="AB39" i="1" s="1" a="1"/>
  <c r="AB39" i="1" s="1"/>
  <c r="AC39" i="1" a="1"/>
  <c r="AC39" i="1" s="1"/>
  <c r="AD39" i="1" a="1"/>
  <c r="AD39" i="1" s="1"/>
  <c r="AA40" i="1" a="1"/>
  <c r="AA40" i="1" s="1"/>
  <c r="AB40" i="1" s="1" a="1"/>
  <c r="AB40" i="1" s="1"/>
  <c r="AC40" i="1" a="1"/>
  <c r="AC40" i="1" s="1"/>
  <c r="AD40" i="1" a="1"/>
  <c r="AD40" i="1" s="1"/>
  <c r="AA41" i="1" a="1"/>
  <c r="AA41" i="1" s="1"/>
  <c r="AB41" i="1" s="1" a="1"/>
  <c r="AB41" i="1" s="1"/>
  <c r="AC41" i="1" a="1"/>
  <c r="AC41" i="1" s="1"/>
  <c r="AD41" i="1" a="1"/>
  <c r="AD41" i="1" s="1"/>
  <c r="AA42" i="1" a="1"/>
  <c r="AA42" i="1" s="1"/>
  <c r="AB42" i="1" s="1" a="1"/>
  <c r="AB42" i="1" s="1"/>
  <c r="AC42" i="1" a="1"/>
  <c r="AC42" i="1" s="1"/>
  <c r="AD42" i="1" a="1"/>
  <c r="AD42" i="1" s="1"/>
  <c r="AA43" i="1" a="1"/>
  <c r="AA43" i="1" s="1"/>
  <c r="AB43" i="1" s="1" a="1"/>
  <c r="AB43" i="1" s="1"/>
  <c r="AC43" i="1" a="1"/>
  <c r="AC43" i="1" s="1"/>
  <c r="AD43" i="1" a="1"/>
  <c r="AD43" i="1" s="1"/>
  <c r="AA44" i="1" a="1"/>
  <c r="AA44" i="1" s="1"/>
  <c r="AB44" i="1" s="1" a="1"/>
  <c r="AB44" i="1" s="1"/>
  <c r="AC44" i="1" a="1"/>
  <c r="AC44" i="1" s="1"/>
  <c r="AD44" i="1" a="1"/>
  <c r="AD44" i="1" s="1"/>
  <c r="AA45" i="1" a="1"/>
  <c r="AA45" i="1" s="1"/>
  <c r="AB45" i="1" s="1" a="1"/>
  <c r="AB45" i="1" s="1"/>
  <c r="AC45" i="1" a="1"/>
  <c r="AC45" i="1" s="1"/>
  <c r="AD45" i="1" a="1"/>
  <c r="AD45" i="1" s="1"/>
  <c r="AA46" i="1" a="1"/>
  <c r="AA46" i="1" s="1"/>
  <c r="AB46" i="1" s="1" a="1"/>
  <c r="AB46" i="1" s="1"/>
  <c r="AC46" i="1" a="1"/>
  <c r="AC46" i="1" s="1"/>
  <c r="AD46" i="1" a="1"/>
  <c r="AD46" i="1" s="1"/>
  <c r="AA47" i="1" a="1"/>
  <c r="AA47" i="1" s="1"/>
  <c r="AB47" i="1" s="1" a="1"/>
  <c r="AB47" i="1" s="1"/>
  <c r="AC47" i="1" a="1"/>
  <c r="AC47" i="1" s="1"/>
  <c r="AD47" i="1" a="1"/>
  <c r="AD47" i="1" s="1"/>
  <c r="AA48" i="1" a="1"/>
  <c r="AA48" i="1" s="1"/>
  <c r="AB48" i="1" s="1" a="1"/>
  <c r="AB48" i="1" s="1"/>
  <c r="AC48" i="1" a="1"/>
  <c r="AC48" i="1" s="1"/>
  <c r="AD48" i="1" a="1"/>
  <c r="AD48" i="1" s="1"/>
  <c r="AA49" i="1" a="1"/>
  <c r="AA49" i="1" s="1"/>
  <c r="AB49" i="1" s="1" a="1"/>
  <c r="AB49" i="1" s="1"/>
  <c r="AC49" i="1" a="1"/>
  <c r="AC49" i="1" s="1"/>
  <c r="AD49" i="1" a="1"/>
  <c r="AD49" i="1" s="1"/>
  <c r="AA50" i="1" a="1"/>
  <c r="AA50" i="1" s="1"/>
  <c r="AB50" i="1" s="1" a="1"/>
  <c r="AB50" i="1" s="1"/>
  <c r="AC50" i="1" a="1"/>
  <c r="AC50" i="1" s="1"/>
  <c r="AD50" i="1" a="1"/>
  <c r="AD50" i="1" s="1"/>
  <c r="AA51" i="1" a="1"/>
  <c r="AA51" i="1" s="1"/>
  <c r="AB51" i="1" s="1" a="1"/>
  <c r="AB51" i="1" s="1"/>
  <c r="AC51" i="1" a="1"/>
  <c r="AC51" i="1" s="1"/>
  <c r="AD51" i="1" a="1"/>
  <c r="AD51" i="1" s="1"/>
  <c r="AA52" i="1" a="1"/>
  <c r="AA52" i="1" s="1"/>
  <c r="AB52" i="1" s="1" a="1"/>
  <c r="AB52" i="1" s="1"/>
  <c r="AC52" i="1" a="1"/>
  <c r="AC52" i="1" s="1"/>
  <c r="AD52" i="1" a="1"/>
  <c r="AD52" i="1" s="1"/>
  <c r="AA53" i="1" a="1"/>
  <c r="AA53" i="1" s="1"/>
  <c r="AB53" i="1" s="1" a="1"/>
  <c r="AB53" i="1" s="1"/>
  <c r="AC53" i="1" a="1"/>
  <c r="AC53" i="1" s="1"/>
  <c r="AD53" i="1" a="1"/>
  <c r="AD53" i="1" s="1"/>
  <c r="AA54" i="1" a="1"/>
  <c r="AA54" i="1" s="1"/>
  <c r="AB54" i="1" s="1" a="1"/>
  <c r="AB54" i="1" s="1"/>
  <c r="AC54" i="1" a="1"/>
  <c r="AC54" i="1" s="1"/>
  <c r="AD54" i="1" a="1"/>
  <c r="AD54" i="1" s="1"/>
  <c r="AA55" i="1" a="1"/>
  <c r="AA55" i="1" s="1"/>
  <c r="AB55" i="1" s="1" a="1"/>
  <c r="AB55" i="1" s="1"/>
  <c r="AC55" i="1" a="1"/>
  <c r="AC55" i="1" s="1"/>
  <c r="AD55" i="1" a="1"/>
  <c r="AD55" i="1" s="1"/>
  <c r="AA56" i="1" a="1"/>
  <c r="AA56" i="1" s="1"/>
  <c r="AB56" i="1" s="1" a="1"/>
  <c r="AB56" i="1" s="1"/>
  <c r="AC56" i="1" a="1"/>
  <c r="AC56" i="1" s="1"/>
  <c r="AD56" i="1" a="1"/>
  <c r="AD56" i="1" s="1"/>
  <c r="AA57" i="1" a="1"/>
  <c r="AA57" i="1" s="1"/>
  <c r="AB57" i="1" s="1" a="1"/>
  <c r="AB57" i="1" s="1"/>
  <c r="AC57" i="1" a="1"/>
  <c r="AC57" i="1" s="1"/>
  <c r="AD57" i="1" a="1"/>
  <c r="AD57" i="1" s="1"/>
  <c r="AA58" i="1" a="1"/>
  <c r="AA58" i="1" s="1"/>
  <c r="AB58" i="1" s="1" a="1"/>
  <c r="AB58" i="1" s="1"/>
  <c r="AC58" i="1" a="1"/>
  <c r="AC58" i="1" s="1"/>
  <c r="AD58" i="1" a="1"/>
  <c r="AD58" i="1" s="1"/>
  <c r="AA59" i="1" a="1"/>
  <c r="AA59" i="1" s="1"/>
  <c r="AB59" i="1" s="1" a="1"/>
  <c r="AB59" i="1" s="1"/>
  <c r="AC59" i="1" a="1"/>
  <c r="AC59" i="1" s="1"/>
  <c r="AD59" i="1" a="1"/>
  <c r="AD59" i="1" s="1"/>
  <c r="AA60" i="1" a="1"/>
  <c r="AA60" i="1" s="1"/>
  <c r="AB60" i="1" s="1" a="1"/>
  <c r="AB60" i="1" s="1"/>
  <c r="AC60" i="1" a="1"/>
  <c r="AC60" i="1" s="1"/>
  <c r="AD60" i="1" a="1"/>
  <c r="AD60" i="1" s="1"/>
  <c r="AA61" i="1" a="1"/>
  <c r="AA61" i="1" s="1"/>
  <c r="AB61" i="1" s="1" a="1"/>
  <c r="AB61" i="1" s="1"/>
  <c r="AC61" i="1" a="1"/>
  <c r="AC61" i="1" s="1"/>
  <c r="AD61" i="1" a="1"/>
  <c r="AD61" i="1" s="1"/>
  <c r="AA62" i="1" a="1"/>
  <c r="AA62" i="1" s="1"/>
  <c r="AB62" i="1" s="1" a="1"/>
  <c r="AB62" i="1" s="1"/>
  <c r="AC62" i="1" a="1"/>
  <c r="AC62" i="1" s="1"/>
  <c r="AD62" i="1" a="1"/>
  <c r="AD62" i="1" s="1"/>
  <c r="AA63" i="1" a="1"/>
  <c r="AA63" i="1" s="1"/>
  <c r="AB63" i="1" s="1" a="1"/>
  <c r="AB63" i="1" s="1"/>
  <c r="AC63" i="1" a="1"/>
  <c r="AC63" i="1" s="1"/>
  <c r="AD63" i="1" a="1"/>
  <c r="AD63" i="1" s="1"/>
  <c r="AA64" i="1" a="1"/>
  <c r="AA64" i="1" s="1"/>
  <c r="AB64" i="1" s="1" a="1"/>
  <c r="AB64" i="1" s="1"/>
  <c r="AC64" i="1" a="1"/>
  <c r="AC64" i="1" s="1"/>
  <c r="AD64" i="1" a="1"/>
  <c r="AD64" i="1" s="1"/>
  <c r="AA65" i="1" a="1"/>
  <c r="AA65" i="1" s="1"/>
  <c r="AB65" i="1" s="1" a="1"/>
  <c r="AB65" i="1" s="1"/>
  <c r="AC65" i="1" a="1"/>
  <c r="AC65" i="1" s="1"/>
  <c r="AD65" i="1" a="1"/>
  <c r="AD65" i="1" s="1"/>
  <c r="AA66" i="1" a="1"/>
  <c r="AA66" i="1" s="1"/>
  <c r="AB66" i="1" s="1" a="1"/>
  <c r="AB66" i="1" s="1"/>
  <c r="AC66" i="1" a="1"/>
  <c r="AC66" i="1" s="1"/>
  <c r="AD66" i="1" a="1"/>
  <c r="AD66" i="1" s="1"/>
  <c r="AA67" i="1" a="1"/>
  <c r="AA67" i="1" s="1"/>
  <c r="AB67" i="1" s="1" a="1"/>
  <c r="AB67" i="1" s="1"/>
  <c r="AC67" i="1" a="1"/>
  <c r="AC67" i="1" s="1"/>
  <c r="AD67" i="1" a="1"/>
  <c r="AD67" i="1" s="1"/>
  <c r="AA68" i="1" a="1"/>
  <c r="AA68" i="1" s="1"/>
  <c r="AB68" i="1" s="1" a="1"/>
  <c r="AB68" i="1" s="1"/>
  <c r="AC68" i="1" a="1"/>
  <c r="AC68" i="1" s="1"/>
  <c r="AD68" i="1" a="1"/>
  <c r="AD68" i="1" s="1"/>
  <c r="AA69" i="1" a="1"/>
  <c r="AA69" i="1" s="1"/>
  <c r="AB69" i="1" s="1" a="1"/>
  <c r="AB69" i="1" s="1"/>
  <c r="AC69" i="1" a="1"/>
  <c r="AC69" i="1" s="1"/>
  <c r="AD69" i="1" a="1"/>
  <c r="AD69" i="1" s="1"/>
  <c r="AA70" i="1" a="1"/>
  <c r="AA70" i="1" s="1"/>
  <c r="AB70" i="1" s="1" a="1"/>
  <c r="AB70" i="1" s="1"/>
  <c r="AC70" i="1" a="1"/>
  <c r="AC70" i="1" s="1"/>
  <c r="AD70" i="1" a="1"/>
  <c r="AD70" i="1" s="1"/>
  <c r="AA71" i="1" a="1"/>
  <c r="AA71" i="1" s="1"/>
  <c r="AB71" i="1" s="1" a="1"/>
  <c r="AB71" i="1" s="1"/>
  <c r="AC71" i="1" a="1"/>
  <c r="AC71" i="1" s="1"/>
  <c r="AD71" i="1" a="1"/>
  <c r="AD71" i="1" s="1"/>
  <c r="AA72" i="1" a="1"/>
  <c r="AA72" i="1" s="1"/>
  <c r="AB72" i="1" s="1" a="1"/>
  <c r="AB72" i="1" s="1"/>
  <c r="AC72" i="1" a="1"/>
  <c r="AC72" i="1" s="1"/>
  <c r="AD72" i="1" a="1"/>
  <c r="AD72" i="1" s="1"/>
  <c r="AA73" i="1" a="1"/>
  <c r="AA73" i="1" s="1"/>
  <c r="AB73" i="1" s="1" a="1"/>
  <c r="AB73" i="1" s="1"/>
  <c r="AC73" i="1" a="1"/>
  <c r="AC73" i="1" s="1"/>
  <c r="AD73" i="1" a="1"/>
  <c r="AD73" i="1" s="1"/>
  <c r="AA74" i="1" a="1"/>
  <c r="AA74" i="1" s="1"/>
  <c r="AB74" i="1" s="1" a="1"/>
  <c r="AB74" i="1" s="1"/>
  <c r="AC74" i="1" a="1"/>
  <c r="AC74" i="1" s="1"/>
  <c r="AD74" i="1" a="1"/>
  <c r="AD74" i="1" s="1"/>
  <c r="AA75" i="1" a="1"/>
  <c r="AA75" i="1" s="1"/>
  <c r="AB75" i="1" s="1" a="1"/>
  <c r="AB75" i="1" s="1"/>
  <c r="AC75" i="1" a="1"/>
  <c r="AC75" i="1" s="1"/>
  <c r="AD75" i="1" a="1"/>
  <c r="AD75" i="1" s="1"/>
  <c r="AA76" i="1" a="1"/>
  <c r="AA76" i="1" s="1"/>
  <c r="AB76" i="1" s="1" a="1"/>
  <c r="AB76" i="1" s="1"/>
  <c r="AC76" i="1" a="1"/>
  <c r="AC76" i="1" s="1"/>
  <c r="AD76" i="1" a="1"/>
  <c r="AD76" i="1" s="1"/>
  <c r="AA77" i="1" a="1"/>
  <c r="AA77" i="1" s="1"/>
  <c r="AB77" i="1" s="1" a="1"/>
  <c r="AB77" i="1" s="1"/>
  <c r="AC77" i="1" a="1"/>
  <c r="AC77" i="1" s="1"/>
  <c r="AD77" i="1" a="1"/>
  <c r="AD77" i="1" s="1"/>
  <c r="AA78" i="1" a="1"/>
  <c r="AA78" i="1" s="1"/>
  <c r="AB78" i="1" s="1" a="1"/>
  <c r="AB78" i="1" s="1"/>
  <c r="AC78" i="1" a="1"/>
  <c r="AC78" i="1" s="1"/>
  <c r="AD78" i="1" a="1"/>
  <c r="AD78" i="1" s="1"/>
  <c r="AA79" i="1" a="1"/>
  <c r="AA79" i="1" s="1"/>
  <c r="AB79" i="1" s="1" a="1"/>
  <c r="AB79" i="1" s="1"/>
  <c r="AC79" i="1" a="1"/>
  <c r="AC79" i="1" s="1"/>
  <c r="AD79" i="1" a="1"/>
  <c r="AD79" i="1" s="1"/>
  <c r="AA80" i="1" a="1"/>
  <c r="AA80" i="1" s="1"/>
  <c r="AB80" i="1" s="1" a="1"/>
  <c r="AB80" i="1" s="1"/>
  <c r="AC80" i="1" a="1"/>
  <c r="AC80" i="1" s="1"/>
  <c r="AD80" i="1" a="1"/>
  <c r="AD80" i="1" s="1"/>
  <c r="AA81" i="1" a="1"/>
  <c r="AA81" i="1" s="1"/>
  <c r="AB81" i="1" s="1" a="1"/>
  <c r="AB81" i="1" s="1"/>
  <c r="AC81" i="1" a="1"/>
  <c r="AC81" i="1" s="1"/>
  <c r="AD81" i="1" a="1"/>
  <c r="AD81" i="1" s="1"/>
  <c r="AA82" i="1" a="1"/>
  <c r="AA82" i="1" s="1"/>
  <c r="AB82" i="1" s="1" a="1"/>
  <c r="AB82" i="1" s="1"/>
  <c r="AC82" i="1" a="1"/>
  <c r="AC82" i="1" s="1"/>
  <c r="AD82" i="1" a="1"/>
  <c r="AD82" i="1" s="1"/>
  <c r="AA83" i="1" a="1"/>
  <c r="AA83" i="1" s="1"/>
  <c r="AB83" i="1" s="1" a="1"/>
  <c r="AB83" i="1" s="1"/>
  <c r="AC83" i="1" a="1"/>
  <c r="AC83" i="1" s="1"/>
  <c r="AD83" i="1" a="1"/>
  <c r="AD83" i="1" s="1"/>
  <c r="AA84" i="1" a="1"/>
  <c r="AA84" i="1" s="1"/>
  <c r="AB84" i="1" s="1" a="1"/>
  <c r="AB84" i="1" s="1"/>
  <c r="AC84" i="1" a="1"/>
  <c r="AC84" i="1" s="1"/>
  <c r="AD84" i="1" a="1"/>
  <c r="AD84" i="1" s="1"/>
  <c r="AA85" i="1" a="1"/>
  <c r="AA85" i="1" s="1"/>
  <c r="AB85" i="1" s="1" a="1"/>
  <c r="AB85" i="1" s="1"/>
  <c r="AC85" i="1" a="1"/>
  <c r="AC85" i="1" s="1"/>
  <c r="AD85" i="1" a="1"/>
  <c r="AD85" i="1" s="1"/>
  <c r="AA86" i="1" a="1"/>
  <c r="AA86" i="1" s="1"/>
  <c r="AB86" i="1" s="1" a="1"/>
  <c r="AB86" i="1" s="1"/>
  <c r="AC86" i="1" a="1"/>
  <c r="AC86" i="1" s="1"/>
  <c r="AD86" i="1" a="1"/>
  <c r="AD86" i="1" s="1"/>
  <c r="AA87" i="1" a="1"/>
  <c r="AA87" i="1" s="1"/>
  <c r="AB87" i="1" s="1" a="1"/>
  <c r="AB87" i="1" s="1"/>
  <c r="AC87" i="1" a="1"/>
  <c r="AC87" i="1" s="1"/>
  <c r="AD87" i="1" a="1"/>
  <c r="AD87" i="1" s="1"/>
  <c r="AA88" i="1" a="1"/>
  <c r="AA88" i="1" s="1"/>
  <c r="AB88" i="1" s="1" a="1"/>
  <c r="AB88" i="1" s="1"/>
  <c r="AC88" i="1" a="1"/>
  <c r="AC88" i="1" s="1"/>
  <c r="AD88" i="1" a="1"/>
  <c r="AD88" i="1" s="1"/>
  <c r="AA89" i="1" a="1"/>
  <c r="AA89" i="1" s="1"/>
  <c r="AB89" i="1" s="1" a="1"/>
  <c r="AB89" i="1" s="1"/>
  <c r="AC89" i="1" a="1"/>
  <c r="AC89" i="1" s="1"/>
  <c r="AD89" i="1" a="1"/>
  <c r="AD89" i="1" s="1"/>
  <c r="AA90" i="1" a="1"/>
  <c r="AA90" i="1" s="1"/>
  <c r="AB90" i="1" s="1" a="1"/>
  <c r="AB90" i="1" s="1"/>
  <c r="AC90" i="1" a="1"/>
  <c r="AC90" i="1" s="1"/>
  <c r="AD90" i="1" a="1"/>
  <c r="AD90" i="1" s="1"/>
  <c r="AA91" i="1" a="1"/>
  <c r="AA91" i="1" s="1"/>
  <c r="AB91" i="1" s="1" a="1"/>
  <c r="AB91" i="1" s="1"/>
  <c r="AC91" i="1" a="1"/>
  <c r="AC91" i="1" s="1"/>
  <c r="AD91" i="1" a="1"/>
  <c r="AD91" i="1" s="1"/>
  <c r="AA92" i="1" a="1"/>
  <c r="AA92" i="1" s="1"/>
  <c r="AB92" i="1" s="1" a="1"/>
  <c r="AB92" i="1" s="1"/>
  <c r="AC92" i="1" a="1"/>
  <c r="AC92" i="1" s="1"/>
  <c r="AD92" i="1" a="1"/>
  <c r="AD92" i="1" s="1"/>
  <c r="AA93" i="1" a="1"/>
  <c r="AA93" i="1" s="1"/>
  <c r="AB93" i="1" s="1" a="1"/>
  <c r="AB93" i="1" s="1"/>
  <c r="AC93" i="1" a="1"/>
  <c r="AC93" i="1" s="1"/>
  <c r="AD93" i="1" a="1"/>
  <c r="AD93" i="1" s="1"/>
  <c r="AA94" i="1" a="1"/>
  <c r="AA94" i="1" s="1"/>
  <c r="AB94" i="1" s="1" a="1"/>
  <c r="AB94" i="1" s="1"/>
  <c r="AC94" i="1" a="1"/>
  <c r="AC94" i="1" s="1"/>
  <c r="AD94" i="1" a="1"/>
  <c r="AD94" i="1" s="1"/>
  <c r="AA95" i="1" a="1"/>
  <c r="AA95" i="1" s="1"/>
  <c r="AB95" i="1" s="1" a="1"/>
  <c r="AB95" i="1" s="1"/>
  <c r="AC95" i="1" a="1"/>
  <c r="AC95" i="1" s="1"/>
  <c r="AD95" i="1" a="1"/>
  <c r="AD95" i="1" s="1"/>
  <c r="AA96" i="1" a="1"/>
  <c r="AA96" i="1" s="1"/>
  <c r="AB96" i="1" s="1" a="1"/>
  <c r="AB96" i="1" s="1"/>
  <c r="AC96" i="1" a="1"/>
  <c r="AC96" i="1" s="1"/>
  <c r="AD96" i="1" a="1"/>
  <c r="AD96" i="1" s="1"/>
  <c r="AA97" i="1" a="1"/>
  <c r="AA97" i="1" s="1"/>
  <c r="AB97" i="1" s="1" a="1"/>
  <c r="AB97" i="1" s="1"/>
  <c r="AC97" i="1" a="1"/>
  <c r="AC97" i="1" s="1"/>
  <c r="AD97" i="1" a="1"/>
  <c r="AD97" i="1" s="1"/>
  <c r="AA98" i="1" a="1"/>
  <c r="AA98" i="1" s="1"/>
  <c r="AB98" i="1" s="1" a="1"/>
  <c r="AB98" i="1" s="1"/>
  <c r="AC98" i="1" a="1"/>
  <c r="AC98" i="1" s="1"/>
  <c r="AD98" i="1" a="1"/>
  <c r="AD98" i="1" s="1"/>
  <c r="AA99" i="1" a="1"/>
  <c r="AA99" i="1" s="1"/>
  <c r="AB99" i="1" s="1" a="1"/>
  <c r="AB99" i="1" s="1"/>
  <c r="AC99" i="1" a="1"/>
  <c r="AC99" i="1" s="1"/>
  <c r="AD99" i="1" a="1"/>
  <c r="AD99" i="1" s="1"/>
  <c r="AA100" i="1" a="1"/>
  <c r="AA100" i="1" s="1"/>
  <c r="AB100" i="1" s="1" a="1"/>
  <c r="AB100" i="1" s="1"/>
  <c r="AC100" i="1" a="1"/>
  <c r="AC100" i="1" s="1"/>
  <c r="AD100" i="1" a="1"/>
  <c r="AD100" i="1" s="1"/>
  <c r="AA101" i="1" a="1"/>
  <c r="AA101" i="1" s="1"/>
  <c r="AB101" i="1" s="1" a="1"/>
  <c r="AB101" i="1" s="1"/>
  <c r="AC101" i="1" a="1"/>
  <c r="AC101" i="1" s="1"/>
  <c r="AD101" i="1" a="1"/>
  <c r="AD101" i="1" s="1"/>
  <c r="AA102" i="1" a="1"/>
  <c r="AA102" i="1" s="1"/>
  <c r="AB102" i="1" s="1" a="1"/>
  <c r="AB102" i="1" s="1"/>
  <c r="AC102" i="1" a="1"/>
  <c r="AC102" i="1" s="1"/>
  <c r="AD102" i="1" a="1"/>
  <c r="AD102" i="1" s="1"/>
  <c r="AA103" i="1" a="1"/>
  <c r="AA103" i="1" s="1"/>
  <c r="AB103" i="1" s="1" a="1"/>
  <c r="AB103" i="1" s="1"/>
  <c r="AC103" i="1" a="1"/>
  <c r="AC103" i="1" s="1"/>
  <c r="AD103" i="1" a="1"/>
  <c r="AD103" i="1" s="1"/>
  <c r="AA104" i="1" a="1"/>
  <c r="AA104" i="1" s="1"/>
  <c r="AB104" i="1" s="1" a="1"/>
  <c r="AB104" i="1" s="1"/>
  <c r="AC104" i="1" a="1"/>
  <c r="AC104" i="1" s="1"/>
  <c r="AD104" i="1" a="1"/>
  <c r="AD104" i="1" s="1"/>
  <c r="AA105" i="1" a="1"/>
  <c r="AA105" i="1" s="1"/>
  <c r="AB105" i="1" s="1" a="1"/>
  <c r="AB105" i="1" s="1"/>
  <c r="AC105" i="1" a="1"/>
  <c r="AC105" i="1" s="1"/>
  <c r="AD105" i="1" a="1"/>
  <c r="AD105" i="1" s="1"/>
  <c r="AA106" i="1" a="1"/>
  <c r="AA106" i="1" s="1"/>
  <c r="AB106" i="1" s="1" a="1"/>
  <c r="AB106" i="1" s="1"/>
  <c r="AC106" i="1" a="1"/>
  <c r="AC106" i="1" s="1"/>
  <c r="AD106" i="1" a="1"/>
  <c r="AD106" i="1" s="1"/>
  <c r="AA107" i="1" a="1"/>
  <c r="AA107" i="1" s="1"/>
  <c r="AB107" i="1" s="1" a="1"/>
  <c r="AB107" i="1" s="1"/>
  <c r="AC107" i="1" a="1"/>
  <c r="AC107" i="1" s="1"/>
  <c r="AD107" i="1" a="1"/>
  <c r="AD107" i="1" s="1"/>
  <c r="AA108" i="1" a="1"/>
  <c r="AA108" i="1" s="1"/>
  <c r="AB108" i="1" s="1" a="1"/>
  <c r="AB108" i="1" s="1"/>
  <c r="AC108" i="1" a="1"/>
  <c r="AC108" i="1" s="1"/>
  <c r="AD108" i="1" a="1"/>
  <c r="AD108" i="1" s="1"/>
  <c r="AA109" i="1" a="1"/>
  <c r="AA109" i="1" s="1"/>
  <c r="AB109" i="1" s="1" a="1"/>
  <c r="AB109" i="1" s="1"/>
  <c r="AC109" i="1" a="1"/>
  <c r="AC109" i="1" s="1"/>
  <c r="AD109" i="1" a="1"/>
  <c r="AD109" i="1" s="1"/>
  <c r="AA110" i="1" a="1"/>
  <c r="AA110" i="1" s="1"/>
  <c r="AB110" i="1" s="1" a="1"/>
  <c r="AB110" i="1" s="1"/>
  <c r="AC110" i="1" a="1"/>
  <c r="AC110" i="1" s="1"/>
  <c r="AD110" i="1" a="1"/>
  <c r="AD110" i="1" s="1"/>
  <c r="AA111" i="1" a="1"/>
  <c r="AA111" i="1" s="1"/>
  <c r="AB111" i="1" s="1" a="1"/>
  <c r="AB111" i="1" s="1"/>
  <c r="AC111" i="1" a="1"/>
  <c r="AC111" i="1" s="1"/>
  <c r="AD111" i="1" a="1"/>
  <c r="AD111" i="1" s="1"/>
  <c r="AA112" i="1" a="1"/>
  <c r="AA112" i="1" s="1"/>
  <c r="AB112" i="1" s="1" a="1"/>
  <c r="AB112" i="1" s="1"/>
  <c r="AC112" i="1" a="1"/>
  <c r="AC112" i="1" s="1"/>
  <c r="AD112" i="1" a="1"/>
  <c r="AD112" i="1" s="1"/>
  <c r="AA113" i="1" a="1"/>
  <c r="AA113" i="1" s="1"/>
  <c r="AB113" i="1" s="1" a="1"/>
  <c r="AB113" i="1" s="1"/>
  <c r="AC113" i="1" a="1"/>
  <c r="AC113" i="1" s="1"/>
  <c r="AD113" i="1" a="1"/>
  <c r="AD113" i="1" s="1"/>
  <c r="AA114" i="1" a="1"/>
  <c r="AA114" i="1" s="1"/>
  <c r="AB114" i="1" s="1" a="1"/>
  <c r="AB114" i="1" s="1"/>
  <c r="AC114" i="1" a="1"/>
  <c r="AC114" i="1" s="1"/>
  <c r="AD114" i="1" a="1"/>
  <c r="AD114" i="1" s="1"/>
  <c r="AA115" i="1" a="1"/>
  <c r="AA115" i="1" s="1"/>
  <c r="AB115" i="1" s="1" a="1"/>
  <c r="AB115" i="1" s="1"/>
  <c r="AC115" i="1" a="1"/>
  <c r="AC115" i="1" s="1"/>
  <c r="AD115" i="1" a="1"/>
  <c r="AD115" i="1" s="1"/>
  <c r="AA116" i="1" a="1"/>
  <c r="AA116" i="1" s="1"/>
  <c r="AB116" i="1" s="1" a="1"/>
  <c r="AB116" i="1" s="1"/>
  <c r="AC116" i="1" a="1"/>
  <c r="AC116" i="1" s="1"/>
  <c r="AD116" i="1" a="1"/>
  <c r="AD116" i="1" s="1"/>
  <c r="AA117" i="1" a="1"/>
  <c r="AA117" i="1" s="1"/>
  <c r="AB117" i="1" s="1" a="1"/>
  <c r="AB117" i="1" s="1"/>
  <c r="AC117" i="1" a="1"/>
  <c r="AC117" i="1" s="1"/>
  <c r="AD117" i="1" a="1"/>
  <c r="AD117" i="1" s="1"/>
  <c r="AA118" i="1" a="1"/>
  <c r="AA118" i="1" s="1"/>
  <c r="AB118" i="1" s="1" a="1"/>
  <c r="AB118" i="1" s="1"/>
  <c r="AC118" i="1" a="1"/>
  <c r="AC118" i="1" s="1"/>
  <c r="AD118" i="1" a="1"/>
  <c r="AD118" i="1" s="1"/>
  <c r="AA119" i="1" a="1"/>
  <c r="AA119" i="1" s="1"/>
  <c r="AB119" i="1" s="1" a="1"/>
  <c r="AB119" i="1" s="1"/>
  <c r="AC119" i="1" a="1"/>
  <c r="AC119" i="1" s="1"/>
  <c r="AD119" i="1" a="1"/>
  <c r="AD119" i="1" s="1"/>
  <c r="AA120" i="1" a="1"/>
  <c r="AA120" i="1" s="1"/>
  <c r="AB120" i="1" s="1" a="1"/>
  <c r="AB120" i="1" s="1"/>
  <c r="AC120" i="1" a="1"/>
  <c r="AC120" i="1" s="1"/>
  <c r="AD120" i="1" a="1"/>
  <c r="AD120" i="1" s="1"/>
  <c r="AA121" i="1" a="1"/>
  <c r="AA121" i="1" s="1"/>
  <c r="AB121" i="1" s="1" a="1"/>
  <c r="AB121" i="1" s="1"/>
  <c r="AC121" i="1" a="1"/>
  <c r="AC121" i="1" s="1"/>
  <c r="AD121" i="1" a="1"/>
  <c r="AD121" i="1" s="1"/>
  <c r="AA122" i="1" a="1"/>
  <c r="AA122" i="1" s="1"/>
  <c r="AB122" i="1" s="1" a="1"/>
  <c r="AB122" i="1" s="1"/>
  <c r="AC122" i="1" a="1"/>
  <c r="AC122" i="1" s="1"/>
  <c r="AD122" i="1" a="1"/>
  <c r="AD122" i="1" s="1"/>
  <c r="AA123" i="1" a="1"/>
  <c r="AA123" i="1" s="1"/>
  <c r="AB123" i="1" s="1" a="1"/>
  <c r="AB123" i="1" s="1"/>
  <c r="AC123" i="1" a="1"/>
  <c r="AC123" i="1" s="1"/>
  <c r="AD123" i="1" a="1"/>
  <c r="AD123" i="1" s="1"/>
  <c r="AA124" i="1" a="1"/>
  <c r="AA124" i="1" s="1"/>
  <c r="AB124" i="1" s="1" a="1"/>
  <c r="AB124" i="1" s="1"/>
  <c r="AC124" i="1" a="1"/>
  <c r="AC124" i="1" s="1"/>
  <c r="AD124" i="1" a="1"/>
  <c r="AD124" i="1" s="1"/>
  <c r="AA125" i="1" a="1"/>
  <c r="AA125" i="1" s="1"/>
  <c r="AB125" i="1" s="1" a="1"/>
  <c r="AB125" i="1" s="1"/>
  <c r="AC125" i="1" a="1"/>
  <c r="AC125" i="1" s="1"/>
  <c r="AD125" i="1" a="1"/>
  <c r="AD125" i="1" s="1"/>
  <c r="AA126" i="1" a="1"/>
  <c r="AA126" i="1" s="1"/>
  <c r="AB126" i="1" s="1" a="1"/>
  <c r="AB126" i="1" s="1"/>
  <c r="AC126" i="1" a="1"/>
  <c r="AC126" i="1" s="1"/>
  <c r="AD126" i="1" a="1"/>
  <c r="AD126" i="1" s="1"/>
  <c r="AA127" i="1" a="1"/>
  <c r="AA127" i="1" s="1"/>
  <c r="AB127" i="1" s="1" a="1"/>
  <c r="AB127" i="1" s="1"/>
  <c r="AC127" i="1" a="1"/>
  <c r="AC127" i="1" s="1"/>
  <c r="AD127" i="1" a="1"/>
  <c r="AD127" i="1" s="1"/>
  <c r="AA128" i="1" a="1"/>
  <c r="AA128" i="1" s="1"/>
  <c r="AB128" i="1" s="1" a="1"/>
  <c r="AB128" i="1" s="1"/>
  <c r="AC128" i="1" a="1"/>
  <c r="AC128" i="1" s="1"/>
  <c r="AD128" i="1" a="1"/>
  <c r="AD128" i="1" s="1"/>
  <c r="AA129" i="1" a="1"/>
  <c r="AA129" i="1" s="1"/>
  <c r="AB129" i="1" s="1" a="1"/>
  <c r="AB129" i="1" s="1"/>
  <c r="AC129" i="1" a="1"/>
  <c r="AC129" i="1" s="1"/>
  <c r="AD129" i="1" a="1"/>
  <c r="AD129" i="1" s="1"/>
  <c r="AA130" i="1" a="1"/>
  <c r="AA130" i="1" s="1"/>
  <c r="AB130" i="1" s="1" a="1"/>
  <c r="AB130" i="1" s="1"/>
  <c r="AC130" i="1" a="1"/>
  <c r="AC130" i="1" s="1"/>
  <c r="AD130" i="1" a="1"/>
  <c r="AD130" i="1" s="1"/>
  <c r="AA131" i="1" a="1"/>
  <c r="AA131" i="1" s="1"/>
  <c r="AB131" i="1" s="1" a="1"/>
  <c r="AB131" i="1" s="1"/>
  <c r="AC131" i="1" a="1"/>
  <c r="AC131" i="1" s="1"/>
  <c r="AD131" i="1" a="1"/>
  <c r="AD131" i="1" s="1"/>
  <c r="AA132" i="1" a="1"/>
  <c r="AA132" i="1" s="1"/>
  <c r="AB132" i="1" s="1" a="1"/>
  <c r="AB132" i="1" s="1"/>
  <c r="AC132" i="1" a="1"/>
  <c r="AC132" i="1" s="1"/>
  <c r="AD132" i="1" a="1"/>
  <c r="AD132" i="1" s="1"/>
  <c r="AA133" i="1" a="1"/>
  <c r="AA133" i="1" s="1"/>
  <c r="AB133" i="1" s="1" a="1"/>
  <c r="AB133" i="1" s="1"/>
  <c r="AC133" i="1" a="1"/>
  <c r="AC133" i="1" s="1"/>
  <c r="AD133" i="1" a="1"/>
  <c r="AD133" i="1" s="1"/>
  <c r="AA134" i="1" a="1"/>
  <c r="AA134" i="1" s="1"/>
  <c r="AB134" i="1" s="1" a="1"/>
  <c r="AB134" i="1" s="1"/>
  <c r="AC134" i="1" a="1"/>
  <c r="AC134" i="1" s="1"/>
  <c r="AD134" i="1" a="1"/>
  <c r="AD134" i="1" s="1"/>
  <c r="AA135" i="1" a="1"/>
  <c r="AA135" i="1" s="1"/>
  <c r="AB135" i="1" s="1" a="1"/>
  <c r="AB135" i="1" s="1"/>
  <c r="AC135" i="1" a="1"/>
  <c r="AC135" i="1" s="1"/>
  <c r="AD135" i="1" a="1"/>
  <c r="AD135" i="1" s="1"/>
  <c r="AA136" i="1" a="1"/>
  <c r="AA136" i="1" s="1"/>
  <c r="AB136" i="1" s="1" a="1"/>
  <c r="AB136" i="1" s="1"/>
  <c r="AC136" i="1" a="1"/>
  <c r="AC136" i="1" s="1"/>
  <c r="AD136" i="1" a="1"/>
  <c r="AD136" i="1" s="1"/>
  <c r="AA137" i="1" a="1"/>
  <c r="AA137" i="1" s="1"/>
  <c r="AB137" i="1" s="1" a="1"/>
  <c r="AB137" i="1" s="1"/>
  <c r="AC137" i="1" a="1"/>
  <c r="AC137" i="1" s="1"/>
  <c r="AD137" i="1" a="1"/>
  <c r="AD137" i="1" s="1"/>
  <c r="AA138" i="1" a="1"/>
  <c r="AA138" i="1" s="1"/>
  <c r="AB138" i="1" s="1" a="1"/>
  <c r="AB138" i="1" s="1"/>
  <c r="AC138" i="1" a="1"/>
  <c r="AC138" i="1" s="1"/>
  <c r="AD138" i="1" a="1"/>
  <c r="AD138" i="1" s="1"/>
  <c r="AA139" i="1" a="1"/>
  <c r="AA139" i="1" s="1"/>
  <c r="AB139" i="1" s="1" a="1"/>
  <c r="AB139" i="1" s="1"/>
  <c r="AC139" i="1" a="1"/>
  <c r="AC139" i="1" s="1"/>
  <c r="AD139" i="1" a="1"/>
  <c r="AD139" i="1" s="1"/>
  <c r="AA140" i="1" a="1"/>
  <c r="AA140" i="1" s="1"/>
  <c r="AB140" i="1" s="1" a="1"/>
  <c r="AB140" i="1" s="1"/>
  <c r="AC140" i="1" a="1"/>
  <c r="AC140" i="1" s="1"/>
  <c r="AD140" i="1" a="1"/>
  <c r="AD140" i="1" s="1"/>
  <c r="E50" i="1" a="1"/>
  <c r="E50" i="1" s="1"/>
  <c r="F50" i="1" a="1"/>
  <c r="F50" i="1" s="1"/>
  <c r="G50" i="1" a="1"/>
  <c r="G50" i="1" s="1"/>
  <c r="H50" i="1" a="1"/>
  <c r="H50" i="1" s="1"/>
  <c r="F51" i="1" a="1"/>
  <c r="F51" i="1" s="1"/>
  <c r="G51" i="1" a="1"/>
  <c r="G51" i="1" s="1"/>
  <c r="D51" i="1" s="1" a="1"/>
  <c r="D51" i="1" s="1"/>
  <c r="E52" i="1" a="1"/>
  <c r="E52" i="1" s="1"/>
  <c r="F52" i="1" a="1"/>
  <c r="F52" i="1" s="1"/>
  <c r="G52" i="1" a="1"/>
  <c r="G52" i="1" s="1"/>
  <c r="D52" i="1" s="1" a="1"/>
  <c r="D52" i="1" s="1"/>
  <c r="H52" i="1" a="1"/>
  <c r="H52" i="1" s="1"/>
  <c r="E53" i="1" a="1"/>
  <c r="E53" i="1" s="1"/>
  <c r="F53" i="1" a="1"/>
  <c r="F53" i="1" s="1"/>
  <c r="G53" i="1" a="1"/>
  <c r="G53" i="1" s="1"/>
  <c r="D53" i="1" s="1" a="1"/>
  <c r="D53" i="1" s="1"/>
  <c r="H53" i="1" a="1"/>
  <c r="H53" i="1" s="1"/>
  <c r="E54" i="1" a="1"/>
  <c r="E54" i="1" s="1"/>
  <c r="F54" i="1" a="1"/>
  <c r="F54" i="1" s="1"/>
  <c r="G54" i="1" a="1"/>
  <c r="G54" i="1" s="1"/>
  <c r="D54" i="1" s="1" a="1"/>
  <c r="D54" i="1" s="1"/>
  <c r="H54" i="1" a="1"/>
  <c r="H54" i="1" s="1"/>
  <c r="E55" i="1" a="1"/>
  <c r="E55" i="1" s="1"/>
  <c r="F55" i="1" a="1"/>
  <c r="F55" i="1" s="1"/>
  <c r="G55" i="1" a="1"/>
  <c r="G55" i="1" s="1"/>
  <c r="D55" i="1" s="1" a="1"/>
  <c r="D55" i="1" s="1"/>
  <c r="H55" i="1" a="1"/>
  <c r="H55" i="1" s="1"/>
  <c r="F4" i="1" a="1"/>
  <c r="F4" i="1" s="1"/>
  <c r="G4" i="1" a="1"/>
  <c r="G4" i="1" s="1"/>
  <c r="D4" i="1" s="1" a="1"/>
  <c r="D4" i="1" s="1"/>
  <c r="H4" i="1" a="1"/>
  <c r="H4" i="1" s="1"/>
  <c r="L4" i="1" a="1"/>
  <c r="L4" i="1" s="1"/>
  <c r="M4" i="1" a="1"/>
  <c r="M4" i="1" s="1"/>
  <c r="E3" i="1" a="1"/>
  <c r="E3" i="1" s="1"/>
  <c r="F3" i="1" a="1"/>
  <c r="F3" i="1" s="1"/>
  <c r="G3" i="1" a="1"/>
  <c r="G3" i="1" s="1"/>
  <c r="H3" i="1" a="1"/>
  <c r="H3" i="1" s="1"/>
  <c r="L3" i="1" a="1"/>
  <c r="L3" i="1" s="1"/>
  <c r="M3" i="1" a="1"/>
  <c r="M3" i="1" s="1"/>
  <c r="AA3" i="1" a="1"/>
  <c r="AA3" i="1" s="1"/>
  <c r="AC3" i="1" a="1"/>
  <c r="AC3" i="1" s="1"/>
  <c r="AD3" i="1" a="1"/>
  <c r="AD3" i="1" s="1"/>
  <c r="A3" i="26" a="1"/>
  <c r="A3" i="26" s="1"/>
  <c r="F14" i="1" a="1"/>
  <c r="F14" i="1" s="1"/>
  <c r="F13" i="1" a="1"/>
  <c r="F13" i="1" s="1"/>
  <c r="F12" i="1" a="1"/>
  <c r="F12" i="1" s="1"/>
  <c r="J9" i="1" l="1"/>
  <c r="AB33" i="1" a="1"/>
  <c r="AB33" i="1" s="1"/>
  <c r="I33" i="1" s="1"/>
  <c r="AB25" i="1" a="1"/>
  <c r="AB25" i="1" s="1"/>
  <c r="I25" i="1" s="1"/>
  <c r="AB17" i="1" a="1"/>
  <c r="AB17" i="1" s="1"/>
  <c r="I17" i="1" s="1"/>
  <c r="AB30" i="1" a="1"/>
  <c r="AB30" i="1" s="1"/>
  <c r="I30" i="1" s="1"/>
  <c r="AB22" i="1" a="1"/>
  <c r="AB22" i="1" s="1"/>
  <c r="I22" i="1" s="1"/>
  <c r="AB14" i="1" a="1"/>
  <c r="AB14" i="1" s="1"/>
  <c r="I14" i="1" s="1"/>
  <c r="AB11" i="1" a="1"/>
  <c r="AB11" i="1" s="1"/>
  <c r="I11" i="1" s="1"/>
  <c r="AB5" i="1" a="1"/>
  <c r="AB5" i="1" s="1"/>
  <c r="I5" i="1" s="1"/>
  <c r="AB8" i="1" a="1"/>
  <c r="AB8" i="1" s="1"/>
  <c r="I8" i="1" s="1"/>
  <c r="AB35" i="1" a="1"/>
  <c r="AB35" i="1" s="1"/>
  <c r="I35" i="1" s="1"/>
  <c r="AB27" i="1" a="1"/>
  <c r="AB27" i="1" s="1"/>
  <c r="I27" i="1" s="1"/>
  <c r="AB19" i="1" a="1"/>
  <c r="AB19" i="1" s="1"/>
  <c r="I19" i="1" s="1"/>
  <c r="AB9" i="1" a="1"/>
  <c r="AB9" i="1" s="1"/>
  <c r="I9" i="1" s="1"/>
  <c r="AB18" i="1" a="1"/>
  <c r="AB18" i="1" s="1"/>
  <c r="I18" i="1" s="1"/>
  <c r="AB32" i="1" a="1"/>
  <c r="AB32" i="1" s="1"/>
  <c r="I32" i="1" s="1"/>
  <c r="AB24" i="1" a="1"/>
  <c r="AB24" i="1" s="1"/>
  <c r="I24" i="1" s="1"/>
  <c r="AB16" i="1" a="1"/>
  <c r="AB16" i="1" s="1"/>
  <c r="AB7" i="1" a="1"/>
  <c r="AB7" i="1" s="1"/>
  <c r="I7" i="1" s="1"/>
  <c r="AB26" i="1" a="1"/>
  <c r="AB26" i="1" s="1"/>
  <c r="I26" i="1" s="1"/>
  <c r="AB37" i="1" a="1"/>
  <c r="AB37" i="1" s="1"/>
  <c r="I37" i="1" s="1"/>
  <c r="AB29" i="1" a="1"/>
  <c r="AB29" i="1" s="1"/>
  <c r="I29" i="1" s="1"/>
  <c r="AB21" i="1" a="1"/>
  <c r="AB21" i="1" s="1"/>
  <c r="I21" i="1" s="1"/>
  <c r="AB13" i="1" a="1"/>
  <c r="AB13" i="1" s="1"/>
  <c r="I13" i="1" s="1"/>
  <c r="AB10" i="1" a="1"/>
  <c r="AB10" i="1" s="1"/>
  <c r="I10" i="1" s="1"/>
  <c r="AB4" i="1" a="1"/>
  <c r="AB4" i="1" s="1"/>
  <c r="I4" i="1" s="1"/>
  <c r="AB31" i="1" a="1"/>
  <c r="AB31" i="1" s="1"/>
  <c r="I31" i="1" s="1"/>
  <c r="AB23" i="1" a="1"/>
  <c r="AB23" i="1" s="1"/>
  <c r="I23" i="1" s="1"/>
  <c r="AB15" i="1" a="1"/>
  <c r="AB15" i="1" s="1"/>
  <c r="AB6" i="1" a="1"/>
  <c r="AB6" i="1" s="1"/>
  <c r="I6" i="1" s="1"/>
  <c r="AB36" i="1" a="1"/>
  <c r="AB36" i="1" s="1"/>
  <c r="I36" i="1" s="1"/>
  <c r="AB28" i="1" a="1"/>
  <c r="AB28" i="1" s="1"/>
  <c r="I28" i="1" s="1"/>
  <c r="AB20" i="1" a="1"/>
  <c r="AB20" i="1" s="1"/>
  <c r="I20" i="1" s="1"/>
  <c r="AB12" i="1" a="1"/>
  <c r="AB12" i="1" s="1"/>
  <c r="I12" i="1" s="1"/>
  <c r="AB38" i="1" a="1"/>
  <c r="AB38" i="1" s="1"/>
  <c r="I38" i="1" s="1"/>
  <c r="I120" i="1"/>
  <c r="I56" i="1"/>
  <c r="I104" i="1"/>
  <c r="I96" i="1"/>
  <c r="I34" i="1"/>
  <c r="I112" i="1"/>
  <c r="I88" i="1"/>
  <c r="I80" i="1"/>
  <c r="I136" i="1"/>
  <c r="I72" i="1"/>
  <c r="I128" i="1"/>
  <c r="I64" i="1"/>
  <c r="I138" i="1"/>
  <c r="I130" i="1"/>
  <c r="I122" i="1"/>
  <c r="I114" i="1"/>
  <c r="I106" i="1"/>
  <c r="I98" i="1"/>
  <c r="I90" i="1"/>
  <c r="I82" i="1"/>
  <c r="I74" i="1"/>
  <c r="I66" i="1"/>
  <c r="I58" i="1"/>
  <c r="I50" i="1"/>
  <c r="I137" i="1"/>
  <c r="I129" i="1"/>
  <c r="I121" i="1"/>
  <c r="I113" i="1"/>
  <c r="I105" i="1"/>
  <c r="I97" i="1"/>
  <c r="I89" i="1"/>
  <c r="I81" i="1"/>
  <c r="I73" i="1"/>
  <c r="I65" i="1"/>
  <c r="I57" i="1"/>
  <c r="I43" i="1"/>
  <c r="I135" i="1"/>
  <c r="I127" i="1"/>
  <c r="I119" i="1"/>
  <c r="I111" i="1"/>
  <c r="I103" i="1"/>
  <c r="I95" i="1"/>
  <c r="I87" i="1"/>
  <c r="I79" i="1"/>
  <c r="I71" i="1"/>
  <c r="I63" i="1"/>
  <c r="I55" i="1"/>
  <c r="I134" i="1"/>
  <c r="I126" i="1"/>
  <c r="I118" i="1"/>
  <c r="I110" i="1"/>
  <c r="I102" i="1"/>
  <c r="I94" i="1"/>
  <c r="I86" i="1"/>
  <c r="I78" i="1"/>
  <c r="I70" i="1"/>
  <c r="I62" i="1"/>
  <c r="I54" i="1"/>
  <c r="I133" i="1"/>
  <c r="I125" i="1"/>
  <c r="I117" i="1"/>
  <c r="I109" i="1"/>
  <c r="I101" i="1"/>
  <c r="I93" i="1"/>
  <c r="I85" i="1"/>
  <c r="I77" i="1"/>
  <c r="I69" i="1"/>
  <c r="I61" i="1"/>
  <c r="I53" i="1"/>
  <c r="I140" i="1"/>
  <c r="I132" i="1"/>
  <c r="I124" i="1"/>
  <c r="I116" i="1"/>
  <c r="I108" i="1"/>
  <c r="I100" i="1"/>
  <c r="I92" i="1"/>
  <c r="I84" i="1"/>
  <c r="I76" i="1"/>
  <c r="I68" i="1"/>
  <c r="I60" i="1"/>
  <c r="I52" i="1"/>
  <c r="I139" i="1"/>
  <c r="I131" i="1"/>
  <c r="I123" i="1"/>
  <c r="I115" i="1"/>
  <c r="I107" i="1"/>
  <c r="I99" i="1"/>
  <c r="I91" i="1"/>
  <c r="I83" i="1"/>
  <c r="I75" i="1"/>
  <c r="I67" i="1"/>
  <c r="I59" i="1"/>
  <c r="K4" i="1"/>
  <c r="J4" i="1"/>
  <c r="AB3" i="1" a="1"/>
  <c r="AB3" i="1" s="1"/>
  <c r="I3" i="1" s="1"/>
  <c r="J3" i="1"/>
  <c r="K3" i="1"/>
  <c r="B23" i="26"/>
  <c r="C23" i="26"/>
  <c r="B24" i="26"/>
  <c r="C24" i="26"/>
  <c r="B25" i="26"/>
  <c r="C25" i="26"/>
  <c r="AD172" i="1" a="1"/>
  <c r="AD172" i="1" s="1"/>
  <c r="AC172" i="1" a="1"/>
  <c r="AC172" i="1" s="1"/>
  <c r="AA172" i="1" a="1"/>
  <c r="AA172" i="1" s="1"/>
  <c r="AB172" i="1" s="1" a="1"/>
  <c r="AB172" i="1" s="1"/>
  <c r="AD171" i="1" a="1"/>
  <c r="AD171" i="1" s="1"/>
  <c r="AC171" i="1" a="1"/>
  <c r="AC171" i="1" s="1"/>
  <c r="AA171" i="1" a="1"/>
  <c r="AA171" i="1" s="1"/>
  <c r="AB171" i="1" s="1" a="1"/>
  <c r="AB171" i="1" s="1"/>
  <c r="AD170" i="1" a="1"/>
  <c r="AD170" i="1" s="1"/>
  <c r="AC170" i="1" a="1"/>
  <c r="AC170" i="1" s="1"/>
  <c r="AA170" i="1" a="1"/>
  <c r="AA170" i="1" s="1"/>
  <c r="AB170" i="1" s="1" a="1"/>
  <c r="AB170" i="1" s="1"/>
  <c r="AD169" i="1" a="1"/>
  <c r="AD169" i="1" s="1"/>
  <c r="AC169" i="1" a="1"/>
  <c r="AC169" i="1" s="1"/>
  <c r="AA169" i="1" a="1"/>
  <c r="AA169" i="1" s="1"/>
  <c r="AB169" i="1" s="1" a="1"/>
  <c r="AB169" i="1" s="1"/>
  <c r="AD168" i="1" a="1"/>
  <c r="AD168" i="1" s="1"/>
  <c r="AC168" i="1" a="1"/>
  <c r="AC168" i="1" s="1"/>
  <c r="AA168" i="1" a="1"/>
  <c r="AA168" i="1" s="1"/>
  <c r="AB168" i="1" s="1" a="1"/>
  <c r="AB168" i="1" s="1"/>
  <c r="AD167" i="1" a="1"/>
  <c r="AD167" i="1" s="1"/>
  <c r="AC167" i="1" a="1"/>
  <c r="AC167" i="1" s="1"/>
  <c r="AA167" i="1" a="1"/>
  <c r="AA167" i="1" s="1"/>
  <c r="AB167" i="1" s="1" a="1"/>
  <c r="AB167" i="1" s="1"/>
  <c r="AD166" i="1" a="1"/>
  <c r="AD166" i="1" s="1"/>
  <c r="AC166" i="1" a="1"/>
  <c r="AC166" i="1" s="1"/>
  <c r="AA166" i="1" a="1"/>
  <c r="AA166" i="1" s="1"/>
  <c r="AB166" i="1" s="1" a="1"/>
  <c r="AB166" i="1" s="1"/>
  <c r="AD165" i="1" a="1"/>
  <c r="AD165" i="1" s="1"/>
  <c r="AC165" i="1" a="1"/>
  <c r="AC165" i="1" s="1"/>
  <c r="AA165" i="1" a="1"/>
  <c r="AA165" i="1" s="1"/>
  <c r="AB165" i="1" s="1" a="1"/>
  <c r="AB165" i="1" s="1"/>
  <c r="AD164" i="1" a="1"/>
  <c r="AD164" i="1" s="1"/>
  <c r="AC164" i="1" a="1"/>
  <c r="AC164" i="1" s="1"/>
  <c r="AA164" i="1" a="1"/>
  <c r="AA164" i="1" s="1"/>
  <c r="AB164" i="1" s="1" a="1"/>
  <c r="AB164" i="1" s="1"/>
  <c r="AD163" i="1" a="1"/>
  <c r="AD163" i="1" s="1"/>
  <c r="AC163" i="1" a="1"/>
  <c r="AC163" i="1" s="1"/>
  <c r="AA163" i="1" a="1"/>
  <c r="AA163" i="1" s="1"/>
  <c r="AB163" i="1" s="1" a="1"/>
  <c r="AB163" i="1" s="1"/>
  <c r="AD162" i="1" a="1"/>
  <c r="AD162" i="1" s="1"/>
  <c r="AC162" i="1" a="1"/>
  <c r="AC162" i="1" s="1"/>
  <c r="AA162" i="1" a="1"/>
  <c r="AA162" i="1" s="1"/>
  <c r="AB162" i="1" s="1" a="1"/>
  <c r="AB162" i="1" s="1"/>
  <c r="AD161" i="1" a="1"/>
  <c r="AD161" i="1" s="1"/>
  <c r="AC161" i="1" a="1"/>
  <c r="AC161" i="1" s="1"/>
  <c r="AA161" i="1" a="1"/>
  <c r="AA161" i="1" s="1"/>
  <c r="AB161" i="1" s="1" a="1"/>
  <c r="AB161" i="1" s="1"/>
  <c r="AD160" i="1" a="1"/>
  <c r="AD160" i="1" s="1"/>
  <c r="AC160" i="1" a="1"/>
  <c r="AC160" i="1" s="1"/>
  <c r="AA160" i="1" a="1"/>
  <c r="AA160" i="1" s="1"/>
  <c r="AB160" i="1" s="1" a="1"/>
  <c r="AB160" i="1" s="1"/>
  <c r="AD159" i="1" a="1"/>
  <c r="AD159" i="1" s="1"/>
  <c r="AC159" i="1" a="1"/>
  <c r="AC159" i="1" s="1"/>
  <c r="AA159" i="1" a="1"/>
  <c r="AA159" i="1" s="1"/>
  <c r="AB159" i="1" s="1" a="1"/>
  <c r="AB159" i="1" s="1"/>
  <c r="AD158" i="1" a="1"/>
  <c r="AD158" i="1" s="1"/>
  <c r="AC158" i="1" a="1"/>
  <c r="AC158" i="1" s="1"/>
  <c r="AA158" i="1" a="1"/>
  <c r="AA158" i="1" s="1"/>
  <c r="AB158" i="1" s="1" a="1"/>
  <c r="AB158" i="1" s="1"/>
  <c r="J10" i="1" l="1"/>
  <c r="J8" i="1"/>
  <c r="J23" i="1"/>
  <c r="J12" i="1"/>
  <c r="B22" i="26" l="1"/>
  <c r="C22" i="26"/>
  <c r="B21" i="26"/>
  <c r="C21" i="26"/>
  <c r="B20" i="26"/>
  <c r="C20" i="26"/>
  <c r="B18" i="26"/>
  <c r="C18" i="26"/>
  <c r="B19" i="26"/>
  <c r="C19" i="26"/>
  <c r="B12" i="26"/>
  <c r="C16" i="26"/>
  <c r="B13" i="26"/>
  <c r="B17" i="26"/>
  <c r="C13" i="26"/>
  <c r="C17" i="26"/>
  <c r="C14" i="26"/>
  <c r="B16" i="26"/>
  <c r="C15" i="26"/>
  <c r="B15" i="26"/>
  <c r="B14" i="26"/>
  <c r="F6" i="30"/>
  <c r="B3" i="30"/>
  <c r="B4" i="30"/>
  <c r="B5" i="30"/>
  <c r="B6" i="30"/>
  <c r="D4" i="30"/>
  <c r="E4" i="30"/>
  <c r="F4" i="30"/>
  <c r="G4" i="30"/>
  <c r="D5" i="30"/>
  <c r="E5" i="30"/>
  <c r="F5" i="30"/>
  <c r="G5" i="30"/>
  <c r="D6" i="30"/>
  <c r="E6" i="30"/>
  <c r="G6" i="30"/>
  <c r="D7" i="30"/>
  <c r="E7" i="30"/>
  <c r="F7" i="30"/>
  <c r="G7" i="30"/>
  <c r="D8" i="30"/>
  <c r="E8" i="30"/>
  <c r="F8" i="30"/>
  <c r="G8" i="30"/>
  <c r="D9" i="30"/>
  <c r="E9" i="30"/>
  <c r="F9" i="30"/>
  <c r="G9" i="30"/>
  <c r="D10" i="30"/>
  <c r="E10" i="30"/>
  <c r="F10" i="30"/>
  <c r="C10" i="30" s="1" a="1"/>
  <c r="C10" i="30" s="1"/>
  <c r="G10" i="30"/>
  <c r="D11" i="30"/>
  <c r="E11" i="30"/>
  <c r="F11" i="30"/>
  <c r="C11" i="30" s="1" a="1"/>
  <c r="C11" i="30" s="1"/>
  <c r="G11" i="30"/>
  <c r="D12" i="30"/>
  <c r="E12" i="30"/>
  <c r="F12" i="30"/>
  <c r="C12" i="30" s="1" a="1"/>
  <c r="C12" i="30" s="1"/>
  <c r="G12" i="30"/>
  <c r="D13" i="30"/>
  <c r="E13" i="30"/>
  <c r="F13" i="30"/>
  <c r="C13" i="30" s="1" a="1"/>
  <c r="C13" i="30" s="1"/>
  <c r="G13" i="30"/>
  <c r="D14" i="30"/>
  <c r="E14" i="30"/>
  <c r="F14" i="30"/>
  <c r="C14" i="30" s="1" a="1"/>
  <c r="C14" i="30" s="1"/>
  <c r="G14" i="30"/>
  <c r="D15" i="30"/>
  <c r="E15" i="30"/>
  <c r="F15" i="30"/>
  <c r="G15" i="30"/>
  <c r="D16" i="30"/>
  <c r="E16" i="30"/>
  <c r="F16" i="30"/>
  <c r="G16" i="30"/>
  <c r="D17" i="30"/>
  <c r="E17" i="30"/>
  <c r="F17" i="30"/>
  <c r="G17" i="30"/>
  <c r="D18" i="30"/>
  <c r="E18" i="30"/>
  <c r="F18" i="30"/>
  <c r="G18" i="30"/>
  <c r="D19" i="30"/>
  <c r="E19" i="30"/>
  <c r="F19" i="30"/>
  <c r="G19" i="30"/>
  <c r="D20" i="30"/>
  <c r="E20" i="30"/>
  <c r="F20" i="30"/>
  <c r="G20" i="30"/>
  <c r="D21" i="30"/>
  <c r="E21" i="30"/>
  <c r="F21" i="30"/>
  <c r="G21" i="30"/>
  <c r="D22" i="30"/>
  <c r="E22" i="30"/>
  <c r="F22" i="30"/>
  <c r="G22" i="30"/>
  <c r="D23" i="30"/>
  <c r="E23" i="30"/>
  <c r="F23" i="30"/>
  <c r="G23" i="30"/>
  <c r="D24" i="30"/>
  <c r="E24" i="30"/>
  <c r="F24" i="30"/>
  <c r="G24" i="30"/>
  <c r="D25" i="30"/>
  <c r="E25" i="30"/>
  <c r="F25" i="30"/>
  <c r="G25" i="30"/>
  <c r="D26" i="30"/>
  <c r="E26" i="30"/>
  <c r="F26" i="30"/>
  <c r="G26" i="30"/>
  <c r="D27" i="30"/>
  <c r="E27" i="30"/>
  <c r="F27" i="30"/>
  <c r="G27" i="30"/>
  <c r="D28" i="30"/>
  <c r="E28" i="30"/>
  <c r="F28" i="30"/>
  <c r="G28" i="30"/>
  <c r="D29" i="30"/>
  <c r="E29" i="30"/>
  <c r="F29" i="30"/>
  <c r="G29" i="30"/>
  <c r="D30" i="30"/>
  <c r="E30" i="30"/>
  <c r="F30" i="30"/>
  <c r="G30" i="30"/>
  <c r="D31" i="30"/>
  <c r="E31" i="30"/>
  <c r="F31" i="30"/>
  <c r="G31" i="30"/>
  <c r="D32" i="30"/>
  <c r="E32" i="30"/>
  <c r="F32" i="30"/>
  <c r="G32" i="30"/>
  <c r="B10" i="26" l="1"/>
  <c r="C7" i="26"/>
  <c r="C12" i="26"/>
  <c r="C11" i="26"/>
  <c r="C9" i="26"/>
  <c r="C8" i="26"/>
  <c r="C6" i="26"/>
  <c r="C5" i="26"/>
  <c r="C4" i="26"/>
  <c r="B7" i="26"/>
  <c r="B8" i="26"/>
  <c r="B9" i="26"/>
  <c r="C10" i="26"/>
  <c r="B4" i="26"/>
  <c r="B11" i="26"/>
  <c r="B5" i="26"/>
  <c r="B6" i="26"/>
  <c r="L23" i="1" a="1"/>
  <c r="L23" i="1" s="1"/>
  <c r="L24" i="1" a="1"/>
  <c r="L24" i="1" s="1"/>
  <c r="L25" i="1" a="1"/>
  <c r="L25" i="1" s="1"/>
  <c r="L26" i="1" a="1"/>
  <c r="L26" i="1" s="1"/>
  <c r="L27" i="1" a="1"/>
  <c r="L27" i="1" s="1"/>
  <c r="L28" i="1" a="1"/>
  <c r="L28" i="1" s="1"/>
  <c r="L29" i="1" a="1"/>
  <c r="L29" i="1" s="1"/>
  <c r="G5" i="1" l="1" a="1"/>
  <c r="G5" i="1" s="1"/>
  <c r="D5" i="1" s="1" a="1"/>
  <c r="D5" i="1" s="1"/>
  <c r="G6" i="1" a="1"/>
  <c r="G6" i="1" s="1"/>
  <c r="D6" i="1" s="1" a="1"/>
  <c r="D6" i="1" s="1"/>
  <c r="G7" i="1" a="1"/>
  <c r="G7" i="1" s="1"/>
  <c r="D7" i="1" s="1" a="1"/>
  <c r="D7" i="1" s="1"/>
  <c r="G8" i="1" a="1"/>
  <c r="G8" i="1" s="1"/>
  <c r="D8" i="1" s="1" a="1"/>
  <c r="D8" i="1" s="1"/>
  <c r="G9" i="1" a="1"/>
  <c r="G9" i="1" s="1"/>
  <c r="D9" i="1" s="1" a="1"/>
  <c r="D9" i="1" s="1"/>
  <c r="G10" i="1" a="1"/>
  <c r="G10" i="1" s="1"/>
  <c r="D10" i="1" s="1" a="1"/>
  <c r="D10" i="1" s="1"/>
  <c r="G11" i="1" a="1"/>
  <c r="G11" i="1" s="1"/>
  <c r="D11" i="1" s="1" a="1"/>
  <c r="D11" i="1" s="1"/>
  <c r="G12" i="1" a="1"/>
  <c r="G12" i="1" s="1"/>
  <c r="D12" i="1" s="1" a="1"/>
  <c r="D12" i="1" s="1"/>
  <c r="G13" i="1" a="1"/>
  <c r="G13" i="1" s="1"/>
  <c r="D13" i="1" s="1" a="1"/>
  <c r="D13" i="1" s="1"/>
  <c r="G14" i="1" a="1"/>
  <c r="G14" i="1" s="1"/>
  <c r="D14" i="1" s="1" a="1"/>
  <c r="D14" i="1" s="1"/>
  <c r="G15" i="1" a="1"/>
  <c r="G15" i="1" s="1"/>
  <c r="D15" i="1" s="1" a="1"/>
  <c r="D15" i="1" s="1"/>
  <c r="G16" i="1" a="1"/>
  <c r="G16" i="1" s="1"/>
  <c r="D16" i="1" s="1" a="1"/>
  <c r="D16" i="1" s="1"/>
  <c r="G17" i="1" a="1"/>
  <c r="G17" i="1" s="1"/>
  <c r="D17" i="1" s="1" a="1"/>
  <c r="D17" i="1" s="1"/>
  <c r="G18" i="1" a="1"/>
  <c r="G18" i="1" s="1"/>
  <c r="D18" i="1" s="1" a="1"/>
  <c r="D18" i="1" s="1"/>
  <c r="G19" i="1" a="1"/>
  <c r="G19" i="1" s="1"/>
  <c r="D19" i="1" s="1" a="1"/>
  <c r="D19" i="1" s="1"/>
  <c r="G20" i="1" a="1"/>
  <c r="G20" i="1" s="1"/>
  <c r="D20" i="1" s="1" a="1"/>
  <c r="D20" i="1" s="1"/>
  <c r="G21" i="1" a="1"/>
  <c r="G21" i="1" s="1"/>
  <c r="D21" i="1" s="1" a="1"/>
  <c r="D21" i="1" s="1"/>
  <c r="G22" i="1" a="1"/>
  <c r="G22" i="1" s="1"/>
  <c r="D22" i="1" s="1" a="1"/>
  <c r="D22" i="1" s="1"/>
  <c r="G23" i="1" a="1"/>
  <c r="G23" i="1" s="1"/>
  <c r="D23" i="1" s="1" a="1"/>
  <c r="D23" i="1" s="1"/>
  <c r="G24" i="1" a="1"/>
  <c r="G24" i="1" s="1"/>
  <c r="D24" i="1" s="1" a="1"/>
  <c r="D24" i="1" s="1"/>
  <c r="G25" i="1" a="1"/>
  <c r="G25" i="1" s="1"/>
  <c r="D25" i="1" s="1" a="1"/>
  <c r="D25" i="1" s="1"/>
  <c r="G26" i="1" a="1"/>
  <c r="G26" i="1" s="1"/>
  <c r="D26" i="1" s="1" a="1"/>
  <c r="D26" i="1" s="1"/>
  <c r="G27" i="1" a="1"/>
  <c r="G27" i="1" s="1"/>
  <c r="D27" i="1" s="1" a="1"/>
  <c r="D27" i="1" s="1"/>
  <c r="G28" i="1" a="1"/>
  <c r="G28" i="1" s="1"/>
  <c r="D28" i="1" s="1" a="1"/>
  <c r="D28" i="1" s="1"/>
  <c r="F5" i="1" a="1"/>
  <c r="F5" i="1" s="1"/>
  <c r="F6" i="1" a="1"/>
  <c r="F6" i="1" s="1"/>
  <c r="F7" i="1" a="1"/>
  <c r="F7" i="1" s="1"/>
  <c r="F8" i="1" a="1"/>
  <c r="F8" i="1" s="1"/>
  <c r="F9" i="1" a="1"/>
  <c r="F9" i="1" s="1"/>
  <c r="F10" i="1" a="1"/>
  <c r="F10" i="1" s="1"/>
  <c r="F11" i="1" a="1"/>
  <c r="F11" i="1" s="1"/>
  <c r="F15" i="1" a="1"/>
  <c r="F15" i="1" s="1"/>
  <c r="F16" i="1" a="1"/>
  <c r="F16" i="1" s="1"/>
  <c r="F17" i="1" a="1"/>
  <c r="F17" i="1" s="1"/>
  <c r="F18" i="1" a="1"/>
  <c r="F18" i="1" s="1"/>
  <c r="F19" i="1" a="1"/>
  <c r="F19" i="1" s="1"/>
  <c r="F20" i="1" a="1"/>
  <c r="F20" i="1" s="1"/>
  <c r="F21" i="1" a="1"/>
  <c r="F21" i="1" s="1"/>
  <c r="F22" i="1" a="1"/>
  <c r="F22" i="1" s="1"/>
  <c r="F23" i="1" a="1"/>
  <c r="F23" i="1" s="1"/>
  <c r="F24" i="1" a="1"/>
  <c r="F24" i="1" s="1"/>
  <c r="F25" i="1" a="1"/>
  <c r="F25" i="1" s="1"/>
  <c r="F26" i="1" a="1"/>
  <c r="F26" i="1" s="1"/>
  <c r="F27" i="1" a="1"/>
  <c r="F27" i="1" s="1"/>
  <c r="F28" i="1" a="1"/>
  <c r="F28" i="1" s="1"/>
  <c r="G29" i="1" a="1"/>
  <c r="G29" i="1" s="1"/>
  <c r="D29" i="1" s="1" a="1"/>
  <c r="D29" i="1" s="1"/>
  <c r="C3" i="26"/>
  <c r="B3" i="26"/>
  <c r="D50" i="1" l="1" a="1"/>
  <c r="D50" i="1" s="1"/>
  <c r="C9" i="30" a="1"/>
  <c r="C9" i="30" s="1"/>
  <c r="C7" i="30" a="1"/>
  <c r="C7" i="30" s="1"/>
  <c r="C6" i="30" a="1"/>
  <c r="C6" i="30" s="1"/>
  <c r="C4" i="30" a="1"/>
  <c r="C4" i="30" s="1"/>
  <c r="C8" i="30" a="1"/>
  <c r="C8" i="30" s="1"/>
  <c r="C5" i="30" a="1"/>
  <c r="C5" i="30" s="1"/>
  <c r="D3" i="1" a="1"/>
  <c r="D3" i="1" s="1"/>
  <c r="J24" i="1" l="1"/>
  <c r="I4" i="30"/>
  <c r="I5" i="30"/>
  <c r="I6" i="30"/>
  <c r="B7" i="30"/>
  <c r="I7" i="30"/>
  <c r="B8" i="30"/>
  <c r="I8" i="30"/>
  <c r="B9" i="30"/>
  <c r="I9" i="30"/>
  <c r="B10" i="30"/>
  <c r="I10" i="30"/>
  <c r="B11" i="30"/>
  <c r="I11" i="30"/>
  <c r="B12" i="30"/>
  <c r="I12" i="30"/>
  <c r="B13" i="30"/>
  <c r="I13" i="30"/>
  <c r="B14" i="30"/>
  <c r="I14" i="30"/>
  <c r="B15" i="30"/>
  <c r="I15" i="30"/>
  <c r="B16" i="30"/>
  <c r="I16" i="30"/>
  <c r="B17" i="30"/>
  <c r="I17" i="30"/>
  <c r="B18" i="30"/>
  <c r="I18" i="30"/>
  <c r="B19" i="30"/>
  <c r="I19" i="30"/>
  <c r="B20" i="30"/>
  <c r="I20" i="30"/>
  <c r="B21" i="30"/>
  <c r="I21" i="30"/>
  <c r="B22" i="30"/>
  <c r="I22" i="30"/>
  <c r="B23" i="30"/>
  <c r="I23" i="30"/>
  <c r="B24" i="30"/>
  <c r="I24" i="30"/>
  <c r="B25" i="30"/>
  <c r="I25" i="30"/>
  <c r="B26" i="30"/>
  <c r="I26" i="30"/>
  <c r="B27" i="30"/>
  <c r="I27" i="30"/>
  <c r="B28" i="30"/>
  <c r="I28" i="30"/>
  <c r="B29" i="30"/>
  <c r="I29" i="30"/>
  <c r="B30" i="30"/>
  <c r="I30" i="30"/>
  <c r="B31" i="30"/>
  <c r="I31" i="30"/>
  <c r="B32" i="30"/>
  <c r="I32" i="30"/>
  <c r="B33" i="30"/>
  <c r="D33" i="30"/>
  <c r="E33" i="30"/>
  <c r="F33" i="30"/>
  <c r="G33" i="30"/>
  <c r="I33" i="30"/>
  <c r="B34" i="30"/>
  <c r="D34" i="30"/>
  <c r="E34" i="30"/>
  <c r="F34" i="30"/>
  <c r="G34" i="30"/>
  <c r="I34" i="30"/>
  <c r="B35" i="30"/>
  <c r="D35" i="30"/>
  <c r="E35" i="30"/>
  <c r="F35" i="30"/>
  <c r="G35" i="30"/>
  <c r="I35" i="30"/>
  <c r="B36" i="30"/>
  <c r="D36" i="30"/>
  <c r="E36" i="30"/>
  <c r="F36" i="30"/>
  <c r="G36" i="30"/>
  <c r="I36" i="30"/>
  <c r="B37" i="30"/>
  <c r="D37" i="30"/>
  <c r="E37" i="30"/>
  <c r="F37" i="30"/>
  <c r="G37" i="30"/>
  <c r="I37" i="30"/>
  <c r="B38" i="30"/>
  <c r="D38" i="30"/>
  <c r="E38" i="30"/>
  <c r="F38" i="30"/>
  <c r="G38" i="30"/>
  <c r="I38" i="30"/>
  <c r="B39" i="30"/>
  <c r="D39" i="30"/>
  <c r="E39" i="30"/>
  <c r="F39" i="30"/>
  <c r="G39" i="30"/>
  <c r="I39" i="30"/>
  <c r="B40" i="30"/>
  <c r="D40" i="30"/>
  <c r="E40" i="30"/>
  <c r="F40" i="30"/>
  <c r="G40" i="30"/>
  <c r="I40" i="30"/>
  <c r="H5" i="1" a="1"/>
  <c r="H5" i="1" s="1"/>
  <c r="L5" i="1" a="1"/>
  <c r="L5" i="1" s="1"/>
  <c r="M5" i="1" a="1"/>
  <c r="M5" i="1" s="1"/>
  <c r="H6" i="1" a="1"/>
  <c r="H6" i="1" s="1"/>
  <c r="L6" i="1" a="1"/>
  <c r="L6" i="1" s="1"/>
  <c r="M6" i="1" a="1"/>
  <c r="M6" i="1" s="1"/>
  <c r="H7" i="1" a="1"/>
  <c r="H7" i="1" s="1"/>
  <c r="L7" i="1" a="1"/>
  <c r="L7" i="1" s="1"/>
  <c r="M7" i="1" a="1"/>
  <c r="M7" i="1" s="1"/>
  <c r="H8" i="1" a="1"/>
  <c r="H8" i="1" s="1"/>
  <c r="L8" i="1" a="1"/>
  <c r="L8" i="1" s="1"/>
  <c r="M8" i="1" a="1"/>
  <c r="M8" i="1" s="1"/>
  <c r="H9" i="1" a="1"/>
  <c r="H9" i="1" s="1"/>
  <c r="L9" i="1" a="1"/>
  <c r="L9" i="1" s="1"/>
  <c r="M9" i="1" a="1"/>
  <c r="M9" i="1" s="1"/>
  <c r="L10" i="1" a="1"/>
  <c r="L10" i="1" s="1"/>
  <c r="M10" i="1" a="1"/>
  <c r="M10" i="1" s="1"/>
  <c r="L11" i="1" a="1"/>
  <c r="L11" i="1" s="1"/>
  <c r="M11" i="1" a="1"/>
  <c r="M11" i="1" s="1"/>
  <c r="L12" i="1" a="1"/>
  <c r="L12" i="1" s="1"/>
  <c r="M12" i="1" a="1"/>
  <c r="M12" i="1" s="1"/>
  <c r="L13" i="1" a="1"/>
  <c r="L13" i="1" s="1"/>
  <c r="M13" i="1" a="1"/>
  <c r="M13" i="1" s="1"/>
  <c r="L14" i="1" a="1"/>
  <c r="L14" i="1" s="1"/>
  <c r="M14" i="1" a="1"/>
  <c r="M14" i="1" s="1"/>
  <c r="L15" i="1" a="1"/>
  <c r="L15" i="1" s="1"/>
  <c r="M15" i="1" a="1"/>
  <c r="M15" i="1" s="1"/>
  <c r="L16" i="1" a="1"/>
  <c r="L16" i="1" s="1"/>
  <c r="M16" i="1" a="1"/>
  <c r="M16" i="1" s="1"/>
  <c r="L17" i="1" a="1"/>
  <c r="L17" i="1" s="1"/>
  <c r="M17" i="1" a="1"/>
  <c r="M17" i="1" s="1"/>
  <c r="L18" i="1" a="1"/>
  <c r="L18" i="1" s="1"/>
  <c r="M18" i="1" a="1"/>
  <c r="M18" i="1" s="1"/>
  <c r="L19" i="1" a="1"/>
  <c r="L19" i="1" s="1"/>
  <c r="M19" i="1" a="1"/>
  <c r="M19" i="1" s="1"/>
  <c r="L20" i="1" a="1"/>
  <c r="L20" i="1" s="1"/>
  <c r="M20" i="1" a="1"/>
  <c r="M20" i="1" s="1"/>
  <c r="J21" i="1"/>
  <c r="K21" i="1"/>
  <c r="L21" i="1" a="1"/>
  <c r="L21" i="1" s="1"/>
  <c r="M21" i="1" a="1"/>
  <c r="M21" i="1" s="1"/>
  <c r="L22" i="1" a="1"/>
  <c r="L22" i="1" s="1"/>
  <c r="M22" i="1" a="1"/>
  <c r="M22" i="1" s="1"/>
  <c r="M23" i="1" a="1"/>
  <c r="M23" i="1" s="1"/>
  <c r="M24" i="1" a="1"/>
  <c r="M24" i="1" s="1"/>
  <c r="M25" i="1" a="1"/>
  <c r="M25" i="1" s="1"/>
  <c r="M26" i="1" a="1"/>
  <c r="M26" i="1" s="1"/>
  <c r="M27" i="1" a="1"/>
  <c r="M27" i="1" s="1"/>
  <c r="M28" i="1" a="1"/>
  <c r="M28" i="1" s="1"/>
  <c r="F29" i="1" a="1"/>
  <c r="F29" i="1" s="1"/>
  <c r="M29" i="1" a="1"/>
  <c r="M29" i="1" s="1"/>
  <c r="F30" i="1" a="1"/>
  <c r="F30" i="1" s="1"/>
  <c r="G30" i="1" a="1"/>
  <c r="G30" i="1" s="1"/>
  <c r="D30" i="1" s="1" a="1"/>
  <c r="D30" i="1" s="1"/>
  <c r="L30" i="1" a="1"/>
  <c r="L30" i="1" s="1"/>
  <c r="M30" i="1" a="1"/>
  <c r="M30" i="1" s="1"/>
  <c r="F31" i="1" a="1"/>
  <c r="F31" i="1" s="1"/>
  <c r="G31" i="1" a="1"/>
  <c r="G31" i="1" s="1"/>
  <c r="D31" i="1" s="1" a="1"/>
  <c r="D31" i="1" s="1"/>
  <c r="L31" i="1" a="1"/>
  <c r="L31" i="1" s="1"/>
  <c r="M31" i="1" a="1"/>
  <c r="M31" i="1" s="1"/>
  <c r="F32" i="1" a="1"/>
  <c r="F32" i="1" s="1"/>
  <c r="G32" i="1" a="1"/>
  <c r="G32" i="1" s="1"/>
  <c r="D32" i="1" s="1" a="1"/>
  <c r="D32" i="1" s="1"/>
  <c r="L32" i="1" a="1"/>
  <c r="L32" i="1" s="1"/>
  <c r="M32" i="1" a="1"/>
  <c r="M32" i="1" s="1"/>
  <c r="F33" i="1" a="1"/>
  <c r="F33" i="1" s="1"/>
  <c r="G33" i="1" a="1"/>
  <c r="G33" i="1" s="1"/>
  <c r="D33" i="1" s="1" a="1"/>
  <c r="D33" i="1" s="1"/>
  <c r="L33" i="1" a="1"/>
  <c r="L33" i="1" s="1"/>
  <c r="M33" i="1" a="1"/>
  <c r="M33" i="1" s="1"/>
  <c r="E34" i="1" a="1"/>
  <c r="E34" i="1" s="1"/>
  <c r="F34" i="1" a="1"/>
  <c r="F34" i="1" s="1"/>
  <c r="G34" i="1" a="1"/>
  <c r="G34" i="1" s="1"/>
  <c r="D34" i="1" s="1" a="1"/>
  <c r="D34" i="1" s="1"/>
  <c r="H34" i="1" a="1"/>
  <c r="H34" i="1" s="1"/>
  <c r="L34" i="1" a="1"/>
  <c r="L34" i="1" s="1"/>
  <c r="M34" i="1" a="1"/>
  <c r="M34" i="1" s="1"/>
  <c r="F35" i="1" a="1"/>
  <c r="F35" i="1" s="1"/>
  <c r="G35" i="1" a="1"/>
  <c r="G35" i="1" s="1"/>
  <c r="D35" i="1" s="1" a="1"/>
  <c r="D35" i="1" s="1"/>
  <c r="L35" i="1" a="1"/>
  <c r="L35" i="1" s="1"/>
  <c r="M35" i="1" a="1"/>
  <c r="M35" i="1" s="1"/>
  <c r="F36" i="1" a="1"/>
  <c r="F36" i="1" s="1"/>
  <c r="G36" i="1" a="1"/>
  <c r="G36" i="1" s="1"/>
  <c r="D36" i="1" s="1" a="1"/>
  <c r="D36" i="1" s="1"/>
  <c r="L36" i="1" a="1"/>
  <c r="L36" i="1" s="1"/>
  <c r="M36" i="1" a="1"/>
  <c r="M36" i="1" s="1"/>
  <c r="F37" i="1" a="1"/>
  <c r="F37" i="1" s="1"/>
  <c r="G37" i="1" a="1"/>
  <c r="G37" i="1" s="1"/>
  <c r="D37" i="1" s="1" a="1"/>
  <c r="D37" i="1" s="1"/>
  <c r="L37" i="1" a="1"/>
  <c r="L37" i="1" s="1"/>
  <c r="M37" i="1" a="1"/>
  <c r="M37" i="1" s="1"/>
  <c r="F38" i="1" a="1"/>
  <c r="F38" i="1" s="1"/>
  <c r="G38" i="1" a="1"/>
  <c r="G38" i="1" s="1"/>
  <c r="D38" i="1" s="1" a="1"/>
  <c r="D38" i="1" s="1"/>
  <c r="L38" i="1" a="1"/>
  <c r="L38" i="1" s="1"/>
  <c r="M38" i="1" a="1"/>
  <c r="M38" i="1" s="1"/>
  <c r="F39" i="1" a="1"/>
  <c r="F39" i="1" s="1"/>
  <c r="G39" i="1" a="1"/>
  <c r="G39" i="1" s="1"/>
  <c r="D39" i="1" s="1" a="1"/>
  <c r="D39" i="1" s="1"/>
  <c r="L39" i="1" a="1"/>
  <c r="L39" i="1" s="1"/>
  <c r="M39" i="1" a="1"/>
  <c r="M39" i="1" s="1"/>
  <c r="F40" i="1" a="1"/>
  <c r="F40" i="1" s="1"/>
  <c r="G40" i="1" a="1"/>
  <c r="G40" i="1" s="1"/>
  <c r="D40" i="1" s="1" a="1"/>
  <c r="D40" i="1" s="1"/>
  <c r="L40" i="1" a="1"/>
  <c r="L40" i="1" s="1"/>
  <c r="M40" i="1" a="1"/>
  <c r="M40" i="1" s="1"/>
  <c r="F41" i="1" a="1"/>
  <c r="F41" i="1" s="1"/>
  <c r="L41" i="1" a="1"/>
  <c r="L41" i="1" s="1"/>
  <c r="M41" i="1" a="1"/>
  <c r="M41" i="1" s="1"/>
  <c r="F42" i="1" a="1"/>
  <c r="F42" i="1" s="1"/>
  <c r="G42" i="1" a="1"/>
  <c r="G42" i="1" s="1"/>
  <c r="D42" i="1" s="1" a="1"/>
  <c r="D42" i="1" s="1"/>
  <c r="L42" i="1" a="1"/>
  <c r="L42" i="1" s="1"/>
  <c r="M42" i="1" a="1"/>
  <c r="M42" i="1" s="1"/>
  <c r="E43" i="1" a="1"/>
  <c r="E43" i="1" s="1"/>
  <c r="F43" i="1" a="1"/>
  <c r="F43" i="1" s="1"/>
  <c r="G43" i="1" a="1"/>
  <c r="G43" i="1" s="1"/>
  <c r="D43" i="1" s="1" a="1"/>
  <c r="D43" i="1" s="1"/>
  <c r="H43" i="1" a="1"/>
  <c r="H43" i="1" s="1"/>
  <c r="L43" i="1" a="1"/>
  <c r="L43" i="1" s="1"/>
  <c r="M43" i="1" a="1"/>
  <c r="M43" i="1" s="1"/>
  <c r="F44" i="1" a="1"/>
  <c r="F44" i="1" s="1"/>
  <c r="G44" i="1" a="1"/>
  <c r="G44" i="1" s="1"/>
  <c r="D44" i="1" s="1" a="1"/>
  <c r="D44" i="1" s="1"/>
  <c r="L44" i="1" a="1"/>
  <c r="L44" i="1" s="1"/>
  <c r="M44" i="1" a="1"/>
  <c r="M44" i="1" s="1"/>
  <c r="F45" i="1" a="1"/>
  <c r="F45" i="1" s="1"/>
  <c r="G45" i="1" a="1"/>
  <c r="G45" i="1" s="1"/>
  <c r="D45" i="1" s="1" a="1"/>
  <c r="D45" i="1" s="1"/>
  <c r="L45" i="1" a="1"/>
  <c r="L45" i="1" s="1"/>
  <c r="M45" i="1" a="1"/>
  <c r="M45" i="1" s="1"/>
  <c r="F46" i="1" a="1"/>
  <c r="F46" i="1" s="1"/>
  <c r="G46" i="1" a="1"/>
  <c r="G46" i="1" s="1"/>
  <c r="D46" i="1" s="1" a="1"/>
  <c r="D46" i="1" s="1"/>
  <c r="L46" i="1" a="1"/>
  <c r="L46" i="1" s="1"/>
  <c r="M46" i="1" a="1"/>
  <c r="M46" i="1" s="1"/>
  <c r="F47" i="1" a="1"/>
  <c r="F47" i="1" s="1"/>
  <c r="G47" i="1" a="1"/>
  <c r="G47" i="1" s="1"/>
  <c r="D47" i="1" s="1" a="1"/>
  <c r="D47" i="1" s="1"/>
  <c r="L47" i="1" a="1"/>
  <c r="L47" i="1" s="1"/>
  <c r="M47" i="1" a="1"/>
  <c r="M47" i="1" s="1"/>
  <c r="F48" i="1" a="1"/>
  <c r="F48" i="1" s="1"/>
  <c r="G48" i="1" a="1"/>
  <c r="G48" i="1" s="1"/>
  <c r="D48" i="1" s="1" a="1"/>
  <c r="D48" i="1" s="1"/>
  <c r="L48" i="1" a="1"/>
  <c r="L48" i="1" s="1"/>
  <c r="M48" i="1" a="1"/>
  <c r="M48" i="1" s="1"/>
  <c r="F49" i="1" a="1"/>
  <c r="F49" i="1" s="1"/>
  <c r="G49" i="1" a="1"/>
  <c r="G49" i="1" s="1"/>
  <c r="D49" i="1" s="1" a="1"/>
  <c r="D49" i="1" s="1"/>
  <c r="L49" i="1" a="1"/>
  <c r="L49" i="1" s="1"/>
  <c r="M49" i="1" a="1"/>
  <c r="M49" i="1" s="1"/>
  <c r="L50" i="1" a="1"/>
  <c r="L50" i="1" s="1"/>
  <c r="M50" i="1" a="1"/>
  <c r="M50" i="1" s="1"/>
  <c r="L51" i="1" a="1"/>
  <c r="L51" i="1" s="1"/>
  <c r="M51" i="1" a="1"/>
  <c r="M51" i="1" s="1"/>
  <c r="L52" i="1" a="1"/>
  <c r="L52" i="1" s="1"/>
  <c r="M52" i="1" a="1"/>
  <c r="M52" i="1" s="1"/>
  <c r="L53" i="1" a="1"/>
  <c r="L53" i="1" s="1"/>
  <c r="M53" i="1" a="1"/>
  <c r="M53" i="1" s="1"/>
  <c r="L54" i="1" a="1"/>
  <c r="L54" i="1" s="1"/>
  <c r="M54" i="1" a="1"/>
  <c r="M54" i="1" s="1"/>
  <c r="L55" i="1" a="1"/>
  <c r="L55" i="1" s="1"/>
  <c r="M55" i="1" a="1"/>
  <c r="M55" i="1" s="1"/>
  <c r="E56" i="1" a="1"/>
  <c r="E56" i="1" s="1"/>
  <c r="F56" i="1" a="1"/>
  <c r="F56" i="1" s="1"/>
  <c r="G56" i="1" a="1"/>
  <c r="G56" i="1" s="1"/>
  <c r="D56" i="1" s="1" a="1"/>
  <c r="D56" i="1" s="1"/>
  <c r="H56" i="1" a="1"/>
  <c r="H56" i="1" s="1"/>
  <c r="L56" i="1" a="1"/>
  <c r="L56" i="1" s="1"/>
  <c r="M56" i="1" a="1"/>
  <c r="M56" i="1" s="1"/>
  <c r="E57" i="1" a="1"/>
  <c r="E57" i="1" s="1"/>
  <c r="F57" i="1" a="1"/>
  <c r="F57" i="1" s="1"/>
  <c r="G57" i="1" a="1"/>
  <c r="G57" i="1" s="1"/>
  <c r="D57" i="1" s="1" a="1"/>
  <c r="D57" i="1" s="1"/>
  <c r="H57" i="1" a="1"/>
  <c r="H57" i="1" s="1"/>
  <c r="L57" i="1" a="1"/>
  <c r="L57" i="1" s="1"/>
  <c r="M57" i="1" a="1"/>
  <c r="M57" i="1" s="1"/>
  <c r="E58" i="1" a="1"/>
  <c r="E58" i="1" s="1"/>
  <c r="F58" i="1" a="1"/>
  <c r="F58" i="1" s="1"/>
  <c r="G58" i="1" a="1"/>
  <c r="G58" i="1" s="1"/>
  <c r="D58" i="1" s="1" a="1"/>
  <c r="D58" i="1" s="1"/>
  <c r="H58" i="1" a="1"/>
  <c r="H58" i="1" s="1"/>
  <c r="L58" i="1" a="1"/>
  <c r="L58" i="1" s="1"/>
  <c r="M58" i="1" a="1"/>
  <c r="M58" i="1" s="1"/>
  <c r="E59" i="1" a="1"/>
  <c r="E59" i="1" s="1"/>
  <c r="F59" i="1" a="1"/>
  <c r="F59" i="1" s="1"/>
  <c r="G59" i="1" a="1"/>
  <c r="G59" i="1" s="1"/>
  <c r="D59" i="1" s="1" a="1"/>
  <c r="D59" i="1" s="1"/>
  <c r="H59" i="1" a="1"/>
  <c r="H59" i="1" s="1"/>
  <c r="L59" i="1" a="1"/>
  <c r="L59" i="1" s="1"/>
  <c r="M59" i="1" a="1"/>
  <c r="M59" i="1" s="1"/>
  <c r="E60" i="1" a="1"/>
  <c r="E60" i="1" s="1"/>
  <c r="F60" i="1" a="1"/>
  <c r="F60" i="1" s="1"/>
  <c r="G60" i="1" a="1"/>
  <c r="G60" i="1" s="1"/>
  <c r="D60" i="1" s="1" a="1"/>
  <c r="D60" i="1" s="1"/>
  <c r="H60" i="1" a="1"/>
  <c r="H60" i="1" s="1"/>
  <c r="L60" i="1" a="1"/>
  <c r="L60" i="1" s="1"/>
  <c r="M60" i="1" a="1"/>
  <c r="M60" i="1" s="1"/>
  <c r="E61" i="1" a="1"/>
  <c r="E61" i="1" s="1"/>
  <c r="F61" i="1" a="1"/>
  <c r="F61" i="1" s="1"/>
  <c r="G61" i="1" a="1"/>
  <c r="G61" i="1" s="1"/>
  <c r="D61" i="1" s="1" a="1"/>
  <c r="D61" i="1" s="1"/>
  <c r="H61" i="1" a="1"/>
  <c r="H61" i="1" s="1"/>
  <c r="L61" i="1" a="1"/>
  <c r="L61" i="1" s="1"/>
  <c r="M61" i="1" a="1"/>
  <c r="M61" i="1" s="1"/>
  <c r="E62" i="1" a="1"/>
  <c r="E62" i="1" s="1"/>
  <c r="F62" i="1" a="1"/>
  <c r="F62" i="1" s="1"/>
  <c r="G62" i="1" a="1"/>
  <c r="G62" i="1" s="1"/>
  <c r="D62" i="1" s="1" a="1"/>
  <c r="D62" i="1" s="1"/>
  <c r="H62" i="1" a="1"/>
  <c r="H62" i="1" s="1"/>
  <c r="L62" i="1" a="1"/>
  <c r="L62" i="1" s="1"/>
  <c r="M62" i="1" a="1"/>
  <c r="M62" i="1" s="1"/>
  <c r="E63" i="1" a="1"/>
  <c r="E63" i="1" s="1"/>
  <c r="F63" i="1" a="1"/>
  <c r="F63" i="1" s="1"/>
  <c r="G63" i="1" a="1"/>
  <c r="G63" i="1" s="1"/>
  <c r="D63" i="1" s="1" a="1"/>
  <c r="D63" i="1" s="1"/>
  <c r="H63" i="1" a="1"/>
  <c r="H63" i="1" s="1"/>
  <c r="L63" i="1" a="1"/>
  <c r="L63" i="1" s="1"/>
  <c r="M63" i="1" a="1"/>
  <c r="M63" i="1" s="1"/>
  <c r="E64" i="1" a="1"/>
  <c r="E64" i="1" s="1"/>
  <c r="F64" i="1" a="1"/>
  <c r="F64" i="1" s="1"/>
  <c r="G64" i="1" a="1"/>
  <c r="G64" i="1" s="1"/>
  <c r="D64" i="1" s="1" a="1"/>
  <c r="D64" i="1" s="1"/>
  <c r="H64" i="1" a="1"/>
  <c r="H64" i="1" s="1"/>
  <c r="L64" i="1" a="1"/>
  <c r="L64" i="1" s="1"/>
  <c r="M64" i="1" a="1"/>
  <c r="M64" i="1" s="1"/>
  <c r="E65" i="1" a="1"/>
  <c r="E65" i="1" s="1"/>
  <c r="F65" i="1" a="1"/>
  <c r="F65" i="1" s="1"/>
  <c r="G65" i="1" a="1"/>
  <c r="G65" i="1" s="1"/>
  <c r="D65" i="1" s="1" a="1"/>
  <c r="D65" i="1" s="1"/>
  <c r="H65" i="1" a="1"/>
  <c r="H65" i="1" s="1"/>
  <c r="L65" i="1" a="1"/>
  <c r="L65" i="1" s="1"/>
  <c r="M65" i="1" a="1"/>
  <c r="M65" i="1" s="1"/>
  <c r="E66" i="1" a="1"/>
  <c r="E66" i="1" s="1"/>
  <c r="F66" i="1" a="1"/>
  <c r="F66" i="1" s="1"/>
  <c r="G66" i="1" a="1"/>
  <c r="G66" i="1" s="1"/>
  <c r="D66" i="1" s="1" a="1"/>
  <c r="D66" i="1" s="1"/>
  <c r="H66" i="1" a="1"/>
  <c r="H66" i="1" s="1"/>
  <c r="L66" i="1" a="1"/>
  <c r="L66" i="1" s="1"/>
  <c r="M66" i="1" a="1"/>
  <c r="M66" i="1" s="1"/>
  <c r="E67" i="1" a="1"/>
  <c r="E67" i="1" s="1"/>
  <c r="F67" i="1" a="1"/>
  <c r="F67" i="1" s="1"/>
  <c r="G67" i="1" a="1"/>
  <c r="G67" i="1" s="1"/>
  <c r="D67" i="1" s="1" a="1"/>
  <c r="D67" i="1" s="1"/>
  <c r="H67" i="1" a="1"/>
  <c r="H67" i="1" s="1"/>
  <c r="L67" i="1" a="1"/>
  <c r="L67" i="1" s="1"/>
  <c r="M67" i="1" a="1"/>
  <c r="M67" i="1" s="1"/>
  <c r="E68" i="1" a="1"/>
  <c r="E68" i="1" s="1"/>
  <c r="F68" i="1" a="1"/>
  <c r="F68" i="1" s="1"/>
  <c r="G68" i="1" a="1"/>
  <c r="G68" i="1" s="1"/>
  <c r="D68" i="1" s="1" a="1"/>
  <c r="D68" i="1" s="1"/>
  <c r="H68" i="1" a="1"/>
  <c r="H68" i="1" s="1"/>
  <c r="L68" i="1" a="1"/>
  <c r="L68" i="1" s="1"/>
  <c r="M68" i="1" a="1"/>
  <c r="M68" i="1" s="1"/>
  <c r="E69" i="1" a="1"/>
  <c r="E69" i="1" s="1"/>
  <c r="F69" i="1" a="1"/>
  <c r="F69" i="1" s="1"/>
  <c r="G69" i="1" a="1"/>
  <c r="G69" i="1" s="1"/>
  <c r="D69" i="1" s="1" a="1"/>
  <c r="D69" i="1" s="1"/>
  <c r="H69" i="1" a="1"/>
  <c r="H69" i="1" s="1"/>
  <c r="L69" i="1" a="1"/>
  <c r="L69" i="1" s="1"/>
  <c r="M69" i="1" a="1"/>
  <c r="M69" i="1" s="1"/>
  <c r="E70" i="1" a="1"/>
  <c r="E70" i="1" s="1"/>
  <c r="F70" i="1" a="1"/>
  <c r="F70" i="1" s="1"/>
  <c r="G70" i="1" a="1"/>
  <c r="G70" i="1" s="1"/>
  <c r="D70" i="1" s="1" a="1"/>
  <c r="D70" i="1" s="1"/>
  <c r="H70" i="1" a="1"/>
  <c r="H70" i="1" s="1"/>
  <c r="L70" i="1" a="1"/>
  <c r="L70" i="1" s="1"/>
  <c r="M70" i="1" a="1"/>
  <c r="M70" i="1" s="1"/>
  <c r="E71" i="1" a="1"/>
  <c r="E71" i="1" s="1"/>
  <c r="F71" i="1" a="1"/>
  <c r="F71" i="1" s="1"/>
  <c r="G71" i="1" a="1"/>
  <c r="G71" i="1" s="1"/>
  <c r="D71" i="1" s="1" a="1"/>
  <c r="D71" i="1" s="1"/>
  <c r="H71" i="1" a="1"/>
  <c r="H71" i="1" s="1"/>
  <c r="L71" i="1" a="1"/>
  <c r="L71" i="1" s="1"/>
  <c r="M71" i="1" a="1"/>
  <c r="M71" i="1" s="1"/>
  <c r="E72" i="1" a="1"/>
  <c r="E72" i="1" s="1"/>
  <c r="F72" i="1" a="1"/>
  <c r="F72" i="1" s="1"/>
  <c r="G72" i="1" a="1"/>
  <c r="G72" i="1" s="1"/>
  <c r="D72" i="1" s="1" a="1"/>
  <c r="D72" i="1" s="1"/>
  <c r="H72" i="1" a="1"/>
  <c r="H72" i="1" s="1"/>
  <c r="L72" i="1" a="1"/>
  <c r="L72" i="1" s="1"/>
  <c r="M72" i="1" a="1"/>
  <c r="M72" i="1" s="1"/>
  <c r="E73" i="1" a="1"/>
  <c r="E73" i="1" s="1"/>
  <c r="F73" i="1" a="1"/>
  <c r="F73" i="1" s="1"/>
  <c r="G73" i="1" a="1"/>
  <c r="G73" i="1" s="1"/>
  <c r="D73" i="1" s="1" a="1"/>
  <c r="D73" i="1" s="1"/>
  <c r="H73" i="1" a="1"/>
  <c r="H73" i="1" s="1"/>
  <c r="L73" i="1" a="1"/>
  <c r="L73" i="1" s="1"/>
  <c r="M73" i="1" a="1"/>
  <c r="M73" i="1" s="1"/>
  <c r="E74" i="1" a="1"/>
  <c r="E74" i="1" s="1"/>
  <c r="F74" i="1" a="1"/>
  <c r="F74" i="1" s="1"/>
  <c r="G74" i="1" a="1"/>
  <c r="G74" i="1" s="1"/>
  <c r="D74" i="1" s="1" a="1"/>
  <c r="D74" i="1" s="1"/>
  <c r="H74" i="1" a="1"/>
  <c r="H74" i="1" s="1"/>
  <c r="L74" i="1" a="1"/>
  <c r="L74" i="1" s="1"/>
  <c r="M74" i="1" a="1"/>
  <c r="M74" i="1" s="1"/>
  <c r="E75" i="1" a="1"/>
  <c r="E75" i="1" s="1"/>
  <c r="F75" i="1" a="1"/>
  <c r="F75" i="1" s="1"/>
  <c r="G75" i="1" a="1"/>
  <c r="G75" i="1" s="1"/>
  <c r="D75" i="1" s="1" a="1"/>
  <c r="D75" i="1" s="1"/>
  <c r="H75" i="1" a="1"/>
  <c r="H75" i="1" s="1"/>
  <c r="L75" i="1" a="1"/>
  <c r="L75" i="1" s="1"/>
  <c r="M75" i="1" a="1"/>
  <c r="M75" i="1" s="1"/>
  <c r="E76" i="1" a="1"/>
  <c r="E76" i="1" s="1"/>
  <c r="F76" i="1" a="1"/>
  <c r="F76" i="1" s="1"/>
  <c r="G76" i="1" a="1"/>
  <c r="G76" i="1" s="1"/>
  <c r="D76" i="1" s="1" a="1"/>
  <c r="D76" i="1" s="1"/>
  <c r="H76" i="1" a="1"/>
  <c r="H76" i="1" s="1"/>
  <c r="L76" i="1" a="1"/>
  <c r="L76" i="1" s="1"/>
  <c r="M76" i="1" a="1"/>
  <c r="M76" i="1" s="1"/>
  <c r="E77" i="1" a="1"/>
  <c r="E77" i="1" s="1"/>
  <c r="F77" i="1" a="1"/>
  <c r="F77" i="1" s="1"/>
  <c r="G77" i="1" a="1"/>
  <c r="G77" i="1" s="1"/>
  <c r="D77" i="1" s="1" a="1"/>
  <c r="D77" i="1" s="1"/>
  <c r="H77" i="1" a="1"/>
  <c r="H77" i="1" s="1"/>
  <c r="L77" i="1" a="1"/>
  <c r="L77" i="1" s="1"/>
  <c r="M77" i="1" a="1"/>
  <c r="M77" i="1" s="1"/>
  <c r="E78" i="1" a="1"/>
  <c r="E78" i="1" s="1"/>
  <c r="F78" i="1" a="1"/>
  <c r="F78" i="1" s="1"/>
  <c r="G78" i="1" a="1"/>
  <c r="G78" i="1" s="1"/>
  <c r="D78" i="1" s="1" a="1"/>
  <c r="D78" i="1" s="1"/>
  <c r="H78" i="1" a="1"/>
  <c r="H78" i="1" s="1"/>
  <c r="L78" i="1" a="1"/>
  <c r="L78" i="1" s="1"/>
  <c r="M78" i="1" a="1"/>
  <c r="M78" i="1" s="1"/>
  <c r="E79" i="1" a="1"/>
  <c r="E79" i="1" s="1"/>
  <c r="F79" i="1" a="1"/>
  <c r="F79" i="1" s="1"/>
  <c r="G79" i="1" a="1"/>
  <c r="G79" i="1" s="1"/>
  <c r="D79" i="1" s="1" a="1"/>
  <c r="D79" i="1" s="1"/>
  <c r="H79" i="1" a="1"/>
  <c r="H79" i="1" s="1"/>
  <c r="L79" i="1" a="1"/>
  <c r="L79" i="1" s="1"/>
  <c r="M79" i="1" a="1"/>
  <c r="M79" i="1" s="1"/>
  <c r="E80" i="1" a="1"/>
  <c r="E80" i="1" s="1"/>
  <c r="F80" i="1" a="1"/>
  <c r="F80" i="1" s="1"/>
  <c r="G80" i="1" a="1"/>
  <c r="G80" i="1" s="1"/>
  <c r="D80" i="1" s="1" a="1"/>
  <c r="D80" i="1" s="1"/>
  <c r="H80" i="1" a="1"/>
  <c r="H80" i="1" s="1"/>
  <c r="L80" i="1" a="1"/>
  <c r="L80" i="1" s="1"/>
  <c r="M80" i="1" a="1"/>
  <c r="M80" i="1" s="1"/>
  <c r="E81" i="1" a="1"/>
  <c r="E81" i="1" s="1"/>
  <c r="F81" i="1" a="1"/>
  <c r="F81" i="1" s="1"/>
  <c r="G81" i="1" a="1"/>
  <c r="G81" i="1" s="1"/>
  <c r="D81" i="1" s="1" a="1"/>
  <c r="D81" i="1" s="1"/>
  <c r="H81" i="1" a="1"/>
  <c r="H81" i="1" s="1"/>
  <c r="L81" i="1" a="1"/>
  <c r="L81" i="1" s="1"/>
  <c r="M81" i="1" a="1"/>
  <c r="M81" i="1" s="1"/>
  <c r="E82" i="1" a="1"/>
  <c r="E82" i="1" s="1"/>
  <c r="F82" i="1" a="1"/>
  <c r="F82" i="1" s="1"/>
  <c r="G82" i="1" a="1"/>
  <c r="G82" i="1" s="1"/>
  <c r="D82" i="1" s="1" a="1"/>
  <c r="D82" i="1" s="1"/>
  <c r="H82" i="1" a="1"/>
  <c r="H82" i="1" s="1"/>
  <c r="L82" i="1" a="1"/>
  <c r="L82" i="1" s="1"/>
  <c r="M82" i="1" a="1"/>
  <c r="M82" i="1" s="1"/>
  <c r="E83" i="1" a="1"/>
  <c r="E83" i="1" s="1"/>
  <c r="F83" i="1" a="1"/>
  <c r="F83" i="1" s="1"/>
  <c r="G83" i="1" a="1"/>
  <c r="G83" i="1" s="1"/>
  <c r="D83" i="1" s="1" a="1"/>
  <c r="D83" i="1" s="1"/>
  <c r="H83" i="1" a="1"/>
  <c r="H83" i="1" s="1"/>
  <c r="L83" i="1" a="1"/>
  <c r="L83" i="1" s="1"/>
  <c r="M83" i="1" a="1"/>
  <c r="M83" i="1" s="1"/>
  <c r="E84" i="1" a="1"/>
  <c r="E84" i="1" s="1"/>
  <c r="F84" i="1" a="1"/>
  <c r="F84" i="1" s="1"/>
  <c r="G84" i="1" a="1"/>
  <c r="G84" i="1" s="1"/>
  <c r="D84" i="1" s="1" a="1"/>
  <c r="D84" i="1" s="1"/>
  <c r="H84" i="1" a="1"/>
  <c r="H84" i="1" s="1"/>
  <c r="L84" i="1" a="1"/>
  <c r="L84" i="1" s="1"/>
  <c r="M84" i="1" a="1"/>
  <c r="M84" i="1" s="1"/>
  <c r="E85" i="1" a="1"/>
  <c r="E85" i="1" s="1"/>
  <c r="F85" i="1" a="1"/>
  <c r="F85" i="1" s="1"/>
  <c r="G85" i="1" a="1"/>
  <c r="G85" i="1" s="1"/>
  <c r="D85" i="1" s="1" a="1"/>
  <c r="D85" i="1" s="1"/>
  <c r="H85" i="1" a="1"/>
  <c r="H85" i="1" s="1"/>
  <c r="L85" i="1" a="1"/>
  <c r="L85" i="1" s="1"/>
  <c r="M85" i="1" a="1"/>
  <c r="M85" i="1" s="1"/>
  <c r="E86" i="1" a="1"/>
  <c r="E86" i="1" s="1"/>
  <c r="F86" i="1" a="1"/>
  <c r="F86" i="1" s="1"/>
  <c r="G86" i="1" a="1"/>
  <c r="G86" i="1" s="1"/>
  <c r="D86" i="1" s="1" a="1"/>
  <c r="D86" i="1" s="1"/>
  <c r="H86" i="1" a="1"/>
  <c r="H86" i="1" s="1"/>
  <c r="L86" i="1" a="1"/>
  <c r="L86" i="1" s="1"/>
  <c r="M86" i="1" a="1"/>
  <c r="M86" i="1" s="1"/>
  <c r="E87" i="1" a="1"/>
  <c r="E87" i="1" s="1"/>
  <c r="F87" i="1" a="1"/>
  <c r="F87" i="1" s="1"/>
  <c r="G87" i="1" a="1"/>
  <c r="G87" i="1" s="1"/>
  <c r="D87" i="1" s="1" a="1"/>
  <c r="D87" i="1" s="1"/>
  <c r="H87" i="1" a="1"/>
  <c r="H87" i="1" s="1"/>
  <c r="L87" i="1" a="1"/>
  <c r="L87" i="1" s="1"/>
  <c r="M87" i="1" a="1"/>
  <c r="M87" i="1" s="1"/>
  <c r="E88" i="1" a="1"/>
  <c r="E88" i="1" s="1"/>
  <c r="F88" i="1" a="1"/>
  <c r="F88" i="1" s="1"/>
  <c r="G88" i="1" a="1"/>
  <c r="G88" i="1" s="1"/>
  <c r="D88" i="1" s="1" a="1"/>
  <c r="D88" i="1" s="1"/>
  <c r="H88" i="1" a="1"/>
  <c r="H88" i="1" s="1"/>
  <c r="L88" i="1" a="1"/>
  <c r="L88" i="1" s="1"/>
  <c r="M88" i="1" a="1"/>
  <c r="M88" i="1" s="1"/>
  <c r="E89" i="1" a="1"/>
  <c r="E89" i="1" s="1"/>
  <c r="F89" i="1" a="1"/>
  <c r="F89" i="1" s="1"/>
  <c r="G89" i="1" a="1"/>
  <c r="G89" i="1" s="1"/>
  <c r="D89" i="1" s="1" a="1"/>
  <c r="D89" i="1" s="1"/>
  <c r="H89" i="1" a="1"/>
  <c r="H89" i="1" s="1"/>
  <c r="L89" i="1" a="1"/>
  <c r="L89" i="1" s="1"/>
  <c r="M89" i="1" a="1"/>
  <c r="M89" i="1" s="1"/>
  <c r="E90" i="1" a="1"/>
  <c r="E90" i="1" s="1"/>
  <c r="F90" i="1" a="1"/>
  <c r="F90" i="1" s="1"/>
  <c r="G90" i="1" a="1"/>
  <c r="G90" i="1" s="1"/>
  <c r="D90" i="1" s="1" a="1"/>
  <c r="D90" i="1" s="1"/>
  <c r="H90" i="1" a="1"/>
  <c r="H90" i="1" s="1"/>
  <c r="L90" i="1" a="1"/>
  <c r="L90" i="1" s="1"/>
  <c r="M90" i="1" a="1"/>
  <c r="M90" i="1" s="1"/>
  <c r="E91" i="1" a="1"/>
  <c r="E91" i="1" s="1"/>
  <c r="F91" i="1" a="1"/>
  <c r="F91" i="1" s="1"/>
  <c r="G91" i="1" a="1"/>
  <c r="G91" i="1" s="1"/>
  <c r="D91" i="1" s="1" a="1"/>
  <c r="D91" i="1" s="1"/>
  <c r="H91" i="1" a="1"/>
  <c r="H91" i="1" s="1"/>
  <c r="L91" i="1" a="1"/>
  <c r="L91" i="1" s="1"/>
  <c r="M91" i="1" a="1"/>
  <c r="M91" i="1" s="1"/>
  <c r="E92" i="1" a="1"/>
  <c r="E92" i="1" s="1"/>
  <c r="F92" i="1" a="1"/>
  <c r="F92" i="1" s="1"/>
  <c r="G92" i="1" a="1"/>
  <c r="G92" i="1" s="1"/>
  <c r="D92" i="1" s="1" a="1"/>
  <c r="D92" i="1" s="1"/>
  <c r="H92" i="1" a="1"/>
  <c r="H92" i="1" s="1"/>
  <c r="L92" i="1" a="1"/>
  <c r="L92" i="1" s="1"/>
  <c r="M92" i="1" a="1"/>
  <c r="M92" i="1" s="1"/>
  <c r="E93" i="1" a="1"/>
  <c r="E93" i="1" s="1"/>
  <c r="F93" i="1" a="1"/>
  <c r="F93" i="1" s="1"/>
  <c r="G93" i="1" a="1"/>
  <c r="G93" i="1" s="1"/>
  <c r="D93" i="1" s="1" a="1"/>
  <c r="D93" i="1" s="1"/>
  <c r="H93" i="1" a="1"/>
  <c r="H93" i="1" s="1"/>
  <c r="L93" i="1" a="1"/>
  <c r="L93" i="1" s="1"/>
  <c r="M93" i="1" a="1"/>
  <c r="M93" i="1" s="1"/>
  <c r="E94" i="1" a="1"/>
  <c r="E94" i="1" s="1"/>
  <c r="F94" i="1" a="1"/>
  <c r="F94" i="1" s="1"/>
  <c r="G94" i="1" a="1"/>
  <c r="G94" i="1" s="1"/>
  <c r="D94" i="1" s="1" a="1"/>
  <c r="D94" i="1" s="1"/>
  <c r="H94" i="1" a="1"/>
  <c r="H94" i="1" s="1"/>
  <c r="L94" i="1" a="1"/>
  <c r="L94" i="1" s="1"/>
  <c r="M94" i="1" a="1"/>
  <c r="M94" i="1" s="1"/>
  <c r="E95" i="1" a="1"/>
  <c r="E95" i="1" s="1"/>
  <c r="F95" i="1" a="1"/>
  <c r="F95" i="1" s="1"/>
  <c r="G95" i="1" a="1"/>
  <c r="G95" i="1" s="1"/>
  <c r="D95" i="1" s="1" a="1"/>
  <c r="D95" i="1" s="1"/>
  <c r="H95" i="1" a="1"/>
  <c r="H95" i="1" s="1"/>
  <c r="L95" i="1" a="1"/>
  <c r="L95" i="1" s="1"/>
  <c r="M95" i="1" a="1"/>
  <c r="M95" i="1" s="1"/>
  <c r="E96" i="1" a="1"/>
  <c r="E96" i="1" s="1"/>
  <c r="F96" i="1" a="1"/>
  <c r="F96" i="1" s="1"/>
  <c r="G96" i="1" a="1"/>
  <c r="G96" i="1" s="1"/>
  <c r="D96" i="1" s="1" a="1"/>
  <c r="D96" i="1" s="1"/>
  <c r="H96" i="1" a="1"/>
  <c r="H96" i="1" s="1"/>
  <c r="L96" i="1" a="1"/>
  <c r="L96" i="1" s="1"/>
  <c r="M96" i="1" a="1"/>
  <c r="M96" i="1" s="1"/>
  <c r="E97" i="1" a="1"/>
  <c r="E97" i="1" s="1"/>
  <c r="F97" i="1" a="1"/>
  <c r="F97" i="1" s="1"/>
  <c r="G97" i="1" a="1"/>
  <c r="G97" i="1" s="1"/>
  <c r="D97" i="1" s="1" a="1"/>
  <c r="D97" i="1" s="1"/>
  <c r="H97" i="1" a="1"/>
  <c r="H97" i="1" s="1"/>
  <c r="L97" i="1" a="1"/>
  <c r="L97" i="1" s="1"/>
  <c r="M97" i="1" a="1"/>
  <c r="M97" i="1" s="1"/>
  <c r="E98" i="1" a="1"/>
  <c r="E98" i="1" s="1"/>
  <c r="F98" i="1" a="1"/>
  <c r="F98" i="1" s="1"/>
  <c r="G98" i="1" a="1"/>
  <c r="G98" i="1" s="1"/>
  <c r="D98" i="1" s="1" a="1"/>
  <c r="D98" i="1" s="1"/>
  <c r="H98" i="1" a="1"/>
  <c r="H98" i="1" s="1"/>
  <c r="L98" i="1" a="1"/>
  <c r="L98" i="1" s="1"/>
  <c r="M98" i="1" a="1"/>
  <c r="M98" i="1" s="1"/>
  <c r="E99" i="1" a="1"/>
  <c r="E99" i="1" s="1"/>
  <c r="F99" i="1" a="1"/>
  <c r="F99" i="1" s="1"/>
  <c r="G99" i="1" a="1"/>
  <c r="G99" i="1" s="1"/>
  <c r="D99" i="1" s="1" a="1"/>
  <c r="D99" i="1" s="1"/>
  <c r="H99" i="1" a="1"/>
  <c r="H99" i="1" s="1"/>
  <c r="L99" i="1" a="1"/>
  <c r="L99" i="1" s="1"/>
  <c r="M99" i="1" a="1"/>
  <c r="M99" i="1" s="1"/>
  <c r="E100" i="1" a="1"/>
  <c r="E100" i="1" s="1"/>
  <c r="F100" i="1" a="1"/>
  <c r="F100" i="1" s="1"/>
  <c r="G100" i="1" a="1"/>
  <c r="G100" i="1" s="1"/>
  <c r="D100" i="1" s="1" a="1"/>
  <c r="D100" i="1" s="1"/>
  <c r="H100" i="1" a="1"/>
  <c r="H100" i="1" s="1"/>
  <c r="L100" i="1" a="1"/>
  <c r="L100" i="1" s="1"/>
  <c r="M100" i="1" a="1"/>
  <c r="M100" i="1" s="1"/>
  <c r="E101" i="1" a="1"/>
  <c r="E101" i="1" s="1"/>
  <c r="F101" i="1" a="1"/>
  <c r="F101" i="1" s="1"/>
  <c r="G101" i="1" a="1"/>
  <c r="G101" i="1" s="1"/>
  <c r="D101" i="1" s="1" a="1"/>
  <c r="D101" i="1" s="1"/>
  <c r="H101" i="1" a="1"/>
  <c r="H101" i="1" s="1"/>
  <c r="L101" i="1" a="1"/>
  <c r="L101" i="1" s="1"/>
  <c r="M101" i="1" a="1"/>
  <c r="M101" i="1" s="1"/>
  <c r="E102" i="1" a="1"/>
  <c r="E102" i="1" s="1"/>
  <c r="F102" i="1" a="1"/>
  <c r="F102" i="1" s="1"/>
  <c r="G102" i="1" a="1"/>
  <c r="G102" i="1" s="1"/>
  <c r="D102" i="1" s="1" a="1"/>
  <c r="D102" i="1" s="1"/>
  <c r="H102" i="1" a="1"/>
  <c r="H102" i="1" s="1"/>
  <c r="L102" i="1" a="1"/>
  <c r="L102" i="1" s="1"/>
  <c r="M102" i="1" a="1"/>
  <c r="M102" i="1" s="1"/>
  <c r="E103" i="1" a="1"/>
  <c r="E103" i="1" s="1"/>
  <c r="F103" i="1" a="1"/>
  <c r="F103" i="1" s="1"/>
  <c r="G103" i="1" a="1"/>
  <c r="G103" i="1" s="1"/>
  <c r="D103" i="1" s="1" a="1"/>
  <c r="D103" i="1" s="1"/>
  <c r="H103" i="1" a="1"/>
  <c r="H103" i="1" s="1"/>
  <c r="L103" i="1" a="1"/>
  <c r="L103" i="1" s="1"/>
  <c r="M103" i="1" a="1"/>
  <c r="M103" i="1" s="1"/>
  <c r="E104" i="1" a="1"/>
  <c r="E104" i="1" s="1"/>
  <c r="F104" i="1" a="1"/>
  <c r="F104" i="1" s="1"/>
  <c r="G104" i="1" a="1"/>
  <c r="G104" i="1" s="1"/>
  <c r="D104" i="1" s="1" a="1"/>
  <c r="D104" i="1" s="1"/>
  <c r="H104" i="1" a="1"/>
  <c r="H104" i="1" s="1"/>
  <c r="L104" i="1" a="1"/>
  <c r="L104" i="1" s="1"/>
  <c r="M104" i="1" a="1"/>
  <c r="M104" i="1" s="1"/>
  <c r="E105" i="1" a="1"/>
  <c r="E105" i="1" s="1"/>
  <c r="F105" i="1" a="1"/>
  <c r="F105" i="1" s="1"/>
  <c r="G105" i="1" a="1"/>
  <c r="G105" i="1" s="1"/>
  <c r="D105" i="1" s="1" a="1"/>
  <c r="D105" i="1" s="1"/>
  <c r="H105" i="1" a="1"/>
  <c r="H105" i="1" s="1"/>
  <c r="L105" i="1" a="1"/>
  <c r="L105" i="1" s="1"/>
  <c r="M105" i="1" a="1"/>
  <c r="M105" i="1" s="1"/>
  <c r="E106" i="1" a="1"/>
  <c r="E106" i="1" s="1"/>
  <c r="F106" i="1" a="1"/>
  <c r="F106" i="1" s="1"/>
  <c r="G106" i="1" a="1"/>
  <c r="G106" i="1" s="1"/>
  <c r="D106" i="1" s="1" a="1"/>
  <c r="D106" i="1" s="1"/>
  <c r="H106" i="1" a="1"/>
  <c r="H106" i="1" s="1"/>
  <c r="L106" i="1" a="1"/>
  <c r="L106" i="1" s="1"/>
  <c r="M106" i="1" a="1"/>
  <c r="M106" i="1" s="1"/>
  <c r="E107" i="1" a="1"/>
  <c r="E107" i="1" s="1"/>
  <c r="F107" i="1" a="1"/>
  <c r="F107" i="1" s="1"/>
  <c r="G107" i="1" a="1"/>
  <c r="G107" i="1" s="1"/>
  <c r="D107" i="1" s="1" a="1"/>
  <c r="D107" i="1" s="1"/>
  <c r="H107" i="1" a="1"/>
  <c r="H107" i="1" s="1"/>
  <c r="L107" i="1" a="1"/>
  <c r="L107" i="1" s="1"/>
  <c r="M107" i="1" a="1"/>
  <c r="M107" i="1" s="1"/>
  <c r="E108" i="1" a="1"/>
  <c r="E108" i="1" s="1"/>
  <c r="F108" i="1" a="1"/>
  <c r="F108" i="1" s="1"/>
  <c r="G108" i="1" a="1"/>
  <c r="G108" i="1" s="1"/>
  <c r="D108" i="1" s="1" a="1"/>
  <c r="D108" i="1" s="1"/>
  <c r="H108" i="1" a="1"/>
  <c r="H108" i="1" s="1"/>
  <c r="L108" i="1" a="1"/>
  <c r="L108" i="1" s="1"/>
  <c r="M108" i="1" a="1"/>
  <c r="M108" i="1" s="1"/>
  <c r="E109" i="1" a="1"/>
  <c r="E109" i="1" s="1"/>
  <c r="F109" i="1" a="1"/>
  <c r="F109" i="1" s="1"/>
  <c r="G109" i="1" a="1"/>
  <c r="G109" i="1" s="1"/>
  <c r="D109" i="1" s="1" a="1"/>
  <c r="D109" i="1" s="1"/>
  <c r="H109" i="1" a="1"/>
  <c r="H109" i="1" s="1"/>
  <c r="L109" i="1" a="1"/>
  <c r="L109" i="1" s="1"/>
  <c r="M109" i="1" a="1"/>
  <c r="M109" i="1" s="1"/>
  <c r="E110" i="1" a="1"/>
  <c r="E110" i="1" s="1"/>
  <c r="F110" i="1" a="1"/>
  <c r="F110" i="1" s="1"/>
  <c r="G110" i="1" a="1"/>
  <c r="G110" i="1" s="1"/>
  <c r="D110" i="1" s="1" a="1"/>
  <c r="D110" i="1" s="1"/>
  <c r="H110" i="1" a="1"/>
  <c r="H110" i="1" s="1"/>
  <c r="L110" i="1" a="1"/>
  <c r="L110" i="1" s="1"/>
  <c r="M110" i="1" a="1"/>
  <c r="M110" i="1" s="1"/>
  <c r="E111" i="1" a="1"/>
  <c r="E111" i="1" s="1"/>
  <c r="F111" i="1" a="1"/>
  <c r="F111" i="1" s="1"/>
  <c r="G111" i="1" a="1"/>
  <c r="G111" i="1" s="1"/>
  <c r="D111" i="1" s="1" a="1"/>
  <c r="D111" i="1" s="1"/>
  <c r="H111" i="1" a="1"/>
  <c r="H111" i="1" s="1"/>
  <c r="L111" i="1" a="1"/>
  <c r="L111" i="1" s="1"/>
  <c r="M111" i="1" a="1"/>
  <c r="M111" i="1" s="1"/>
  <c r="E112" i="1" a="1"/>
  <c r="E112" i="1" s="1"/>
  <c r="F112" i="1" a="1"/>
  <c r="F112" i="1" s="1"/>
  <c r="G112" i="1" a="1"/>
  <c r="G112" i="1" s="1"/>
  <c r="D112" i="1" s="1" a="1"/>
  <c r="D112" i="1" s="1"/>
  <c r="H112" i="1" a="1"/>
  <c r="H112" i="1" s="1"/>
  <c r="L112" i="1" a="1"/>
  <c r="L112" i="1" s="1"/>
  <c r="M112" i="1" a="1"/>
  <c r="M112" i="1" s="1"/>
  <c r="E113" i="1" a="1"/>
  <c r="E113" i="1" s="1"/>
  <c r="F113" i="1" a="1"/>
  <c r="F113" i="1" s="1"/>
  <c r="G113" i="1" a="1"/>
  <c r="G113" i="1" s="1"/>
  <c r="D113" i="1" s="1" a="1"/>
  <c r="D113" i="1" s="1"/>
  <c r="H113" i="1" a="1"/>
  <c r="H113" i="1" s="1"/>
  <c r="L113" i="1" a="1"/>
  <c r="L113" i="1" s="1"/>
  <c r="M113" i="1" a="1"/>
  <c r="M113" i="1" s="1"/>
  <c r="E114" i="1" a="1"/>
  <c r="E114" i="1" s="1"/>
  <c r="F114" i="1" a="1"/>
  <c r="F114" i="1" s="1"/>
  <c r="G114" i="1" a="1"/>
  <c r="G114" i="1" s="1"/>
  <c r="D114" i="1" s="1" a="1"/>
  <c r="D114" i="1" s="1"/>
  <c r="H114" i="1" a="1"/>
  <c r="H114" i="1" s="1"/>
  <c r="L114" i="1" a="1"/>
  <c r="L114" i="1" s="1"/>
  <c r="M114" i="1" a="1"/>
  <c r="M114" i="1" s="1"/>
  <c r="E115" i="1" a="1"/>
  <c r="E115" i="1" s="1"/>
  <c r="F115" i="1" a="1"/>
  <c r="F115" i="1" s="1"/>
  <c r="G115" i="1" a="1"/>
  <c r="G115" i="1" s="1"/>
  <c r="D115" i="1" s="1" a="1"/>
  <c r="D115" i="1" s="1"/>
  <c r="H115" i="1" a="1"/>
  <c r="H115" i="1" s="1"/>
  <c r="L115" i="1" a="1"/>
  <c r="L115" i="1" s="1"/>
  <c r="M115" i="1" a="1"/>
  <c r="M115" i="1" s="1"/>
  <c r="E116" i="1" a="1"/>
  <c r="E116" i="1" s="1"/>
  <c r="F116" i="1" a="1"/>
  <c r="F116" i="1" s="1"/>
  <c r="G116" i="1" a="1"/>
  <c r="G116" i="1" s="1"/>
  <c r="D116" i="1" s="1" a="1"/>
  <c r="D116" i="1" s="1"/>
  <c r="H116" i="1" a="1"/>
  <c r="H116" i="1" s="1"/>
  <c r="L116" i="1" a="1"/>
  <c r="L116" i="1" s="1"/>
  <c r="M116" i="1" a="1"/>
  <c r="M116" i="1" s="1"/>
  <c r="E117" i="1" a="1"/>
  <c r="E117" i="1" s="1"/>
  <c r="F117" i="1" a="1"/>
  <c r="F117" i="1" s="1"/>
  <c r="G117" i="1" a="1"/>
  <c r="G117" i="1" s="1"/>
  <c r="D117" i="1" s="1" a="1"/>
  <c r="D117" i="1" s="1"/>
  <c r="H117" i="1" a="1"/>
  <c r="H117" i="1" s="1"/>
  <c r="L117" i="1" a="1"/>
  <c r="L117" i="1" s="1"/>
  <c r="M117" i="1" a="1"/>
  <c r="M117" i="1" s="1"/>
  <c r="E118" i="1" a="1"/>
  <c r="E118" i="1" s="1"/>
  <c r="F118" i="1" a="1"/>
  <c r="F118" i="1" s="1"/>
  <c r="G118" i="1" a="1"/>
  <c r="G118" i="1" s="1"/>
  <c r="D118" i="1" s="1" a="1"/>
  <c r="D118" i="1" s="1"/>
  <c r="H118" i="1" a="1"/>
  <c r="H118" i="1" s="1"/>
  <c r="L118" i="1" a="1"/>
  <c r="L118" i="1" s="1"/>
  <c r="M118" i="1" a="1"/>
  <c r="M118" i="1" s="1"/>
  <c r="E119" i="1" a="1"/>
  <c r="E119" i="1" s="1"/>
  <c r="F119" i="1" a="1"/>
  <c r="F119" i="1" s="1"/>
  <c r="G119" i="1" a="1"/>
  <c r="G119" i="1" s="1"/>
  <c r="D119" i="1" s="1" a="1"/>
  <c r="D119" i="1" s="1"/>
  <c r="H119" i="1" a="1"/>
  <c r="H119" i="1" s="1"/>
  <c r="L119" i="1" a="1"/>
  <c r="L119" i="1" s="1"/>
  <c r="M119" i="1" a="1"/>
  <c r="M119" i="1" s="1"/>
  <c r="E120" i="1" a="1"/>
  <c r="E120" i="1" s="1"/>
  <c r="F120" i="1" a="1"/>
  <c r="F120" i="1" s="1"/>
  <c r="G120" i="1" a="1"/>
  <c r="G120" i="1" s="1"/>
  <c r="D120" i="1" s="1" a="1"/>
  <c r="D120" i="1" s="1"/>
  <c r="H120" i="1" a="1"/>
  <c r="H120" i="1" s="1"/>
  <c r="L120" i="1" a="1"/>
  <c r="L120" i="1" s="1"/>
  <c r="M120" i="1" a="1"/>
  <c r="M120" i="1" s="1"/>
  <c r="E121" i="1" a="1"/>
  <c r="E121" i="1" s="1"/>
  <c r="F121" i="1" a="1"/>
  <c r="F121" i="1" s="1"/>
  <c r="G121" i="1" a="1"/>
  <c r="G121" i="1" s="1"/>
  <c r="D121" i="1" s="1" a="1"/>
  <c r="D121" i="1" s="1"/>
  <c r="H121" i="1" a="1"/>
  <c r="H121" i="1" s="1"/>
  <c r="L121" i="1" a="1"/>
  <c r="L121" i="1" s="1"/>
  <c r="M121" i="1" a="1"/>
  <c r="M121" i="1" s="1"/>
  <c r="E122" i="1" a="1"/>
  <c r="E122" i="1" s="1"/>
  <c r="F122" i="1" a="1"/>
  <c r="F122" i="1" s="1"/>
  <c r="G122" i="1" a="1"/>
  <c r="G122" i="1" s="1"/>
  <c r="D122" i="1" s="1" a="1"/>
  <c r="D122" i="1" s="1"/>
  <c r="H122" i="1" a="1"/>
  <c r="H122" i="1" s="1"/>
  <c r="L122" i="1" a="1"/>
  <c r="L122" i="1" s="1"/>
  <c r="M122" i="1" a="1"/>
  <c r="M122" i="1" s="1"/>
  <c r="E123" i="1" a="1"/>
  <c r="E123" i="1" s="1"/>
  <c r="F123" i="1" a="1"/>
  <c r="F123" i="1" s="1"/>
  <c r="G123" i="1" a="1"/>
  <c r="G123" i="1" s="1"/>
  <c r="D123" i="1" s="1" a="1"/>
  <c r="D123" i="1" s="1"/>
  <c r="H123" i="1" a="1"/>
  <c r="H123" i="1" s="1"/>
  <c r="L123" i="1" a="1"/>
  <c r="L123" i="1" s="1"/>
  <c r="M123" i="1" a="1"/>
  <c r="M123" i="1" s="1"/>
  <c r="E124" i="1" a="1"/>
  <c r="E124" i="1" s="1"/>
  <c r="F124" i="1" a="1"/>
  <c r="F124" i="1" s="1"/>
  <c r="G124" i="1" a="1"/>
  <c r="G124" i="1" s="1"/>
  <c r="D124" i="1" s="1" a="1"/>
  <c r="D124" i="1" s="1"/>
  <c r="H124" i="1" a="1"/>
  <c r="H124" i="1" s="1"/>
  <c r="L124" i="1" a="1"/>
  <c r="L124" i="1" s="1"/>
  <c r="M124" i="1" a="1"/>
  <c r="M124" i="1" s="1"/>
  <c r="E125" i="1" a="1"/>
  <c r="E125" i="1" s="1"/>
  <c r="F125" i="1" a="1"/>
  <c r="F125" i="1" s="1"/>
  <c r="G125" i="1" a="1"/>
  <c r="G125" i="1" s="1"/>
  <c r="D125" i="1" s="1" a="1"/>
  <c r="D125" i="1" s="1"/>
  <c r="H125" i="1" a="1"/>
  <c r="H125" i="1" s="1"/>
  <c r="L125" i="1" a="1"/>
  <c r="L125" i="1" s="1"/>
  <c r="M125" i="1" a="1"/>
  <c r="M125" i="1" s="1"/>
  <c r="E126" i="1" a="1"/>
  <c r="E126" i="1" s="1"/>
  <c r="F126" i="1" a="1"/>
  <c r="F126" i="1" s="1"/>
  <c r="G126" i="1" a="1"/>
  <c r="G126" i="1" s="1"/>
  <c r="D126" i="1" s="1" a="1"/>
  <c r="D126" i="1" s="1"/>
  <c r="H126" i="1" a="1"/>
  <c r="H126" i="1" s="1"/>
  <c r="L126" i="1" a="1"/>
  <c r="L126" i="1" s="1"/>
  <c r="M126" i="1" a="1"/>
  <c r="M126" i="1" s="1"/>
  <c r="E127" i="1" a="1"/>
  <c r="E127" i="1" s="1"/>
  <c r="F127" i="1" a="1"/>
  <c r="F127" i="1" s="1"/>
  <c r="G127" i="1" a="1"/>
  <c r="G127" i="1" s="1"/>
  <c r="D127" i="1" s="1" a="1"/>
  <c r="D127" i="1" s="1"/>
  <c r="H127" i="1" a="1"/>
  <c r="H127" i="1" s="1"/>
  <c r="L127" i="1" a="1"/>
  <c r="L127" i="1" s="1"/>
  <c r="M127" i="1" a="1"/>
  <c r="M127" i="1" s="1"/>
  <c r="E128" i="1" a="1"/>
  <c r="E128" i="1" s="1"/>
  <c r="F128" i="1" a="1"/>
  <c r="F128" i="1" s="1"/>
  <c r="G128" i="1" a="1"/>
  <c r="G128" i="1" s="1"/>
  <c r="D128" i="1" s="1" a="1"/>
  <c r="D128" i="1" s="1"/>
  <c r="H128" i="1" a="1"/>
  <c r="H128" i="1" s="1"/>
  <c r="L128" i="1" a="1"/>
  <c r="L128" i="1" s="1"/>
  <c r="M128" i="1" a="1"/>
  <c r="M128" i="1" s="1"/>
  <c r="E129" i="1" a="1"/>
  <c r="E129" i="1" s="1"/>
  <c r="F129" i="1" a="1"/>
  <c r="F129" i="1" s="1"/>
  <c r="G129" i="1" a="1"/>
  <c r="G129" i="1" s="1"/>
  <c r="D129" i="1" s="1" a="1"/>
  <c r="D129" i="1" s="1"/>
  <c r="H129" i="1" a="1"/>
  <c r="H129" i="1" s="1"/>
  <c r="L129" i="1" a="1"/>
  <c r="L129" i="1" s="1"/>
  <c r="M129" i="1" a="1"/>
  <c r="M129" i="1" s="1"/>
  <c r="E130" i="1" a="1"/>
  <c r="E130" i="1" s="1"/>
  <c r="F130" i="1" a="1"/>
  <c r="F130" i="1" s="1"/>
  <c r="G130" i="1" a="1"/>
  <c r="G130" i="1" s="1"/>
  <c r="D130" i="1" s="1" a="1"/>
  <c r="D130" i="1" s="1"/>
  <c r="H130" i="1" a="1"/>
  <c r="H130" i="1" s="1"/>
  <c r="L130" i="1" a="1"/>
  <c r="L130" i="1" s="1"/>
  <c r="M130" i="1" a="1"/>
  <c r="M130" i="1" s="1"/>
  <c r="E131" i="1" a="1"/>
  <c r="E131" i="1" s="1"/>
  <c r="F131" i="1" a="1"/>
  <c r="F131" i="1" s="1"/>
  <c r="G131" i="1" a="1"/>
  <c r="G131" i="1" s="1"/>
  <c r="D131" i="1" s="1" a="1"/>
  <c r="D131" i="1" s="1"/>
  <c r="H131" i="1" a="1"/>
  <c r="H131" i="1" s="1"/>
  <c r="L131" i="1" a="1"/>
  <c r="L131" i="1" s="1"/>
  <c r="M131" i="1" a="1"/>
  <c r="M131" i="1" s="1"/>
  <c r="E132" i="1" a="1"/>
  <c r="E132" i="1" s="1"/>
  <c r="F132" i="1" a="1"/>
  <c r="F132" i="1" s="1"/>
  <c r="G132" i="1" a="1"/>
  <c r="G132" i="1" s="1"/>
  <c r="D132" i="1" s="1" a="1"/>
  <c r="D132" i="1" s="1"/>
  <c r="H132" i="1" a="1"/>
  <c r="H132" i="1" s="1"/>
  <c r="L132" i="1" a="1"/>
  <c r="L132" i="1" s="1"/>
  <c r="M132" i="1" a="1"/>
  <c r="M132" i="1" s="1"/>
  <c r="E133" i="1" a="1"/>
  <c r="E133" i="1" s="1"/>
  <c r="F133" i="1" a="1"/>
  <c r="F133" i="1" s="1"/>
  <c r="G133" i="1" a="1"/>
  <c r="G133" i="1" s="1"/>
  <c r="D133" i="1" s="1" a="1"/>
  <c r="D133" i="1" s="1"/>
  <c r="H133" i="1" a="1"/>
  <c r="H133" i="1" s="1"/>
  <c r="L133" i="1" a="1"/>
  <c r="L133" i="1" s="1"/>
  <c r="M133" i="1" a="1"/>
  <c r="M133" i="1" s="1"/>
  <c r="E134" i="1" a="1"/>
  <c r="E134" i="1" s="1"/>
  <c r="F134" i="1" a="1"/>
  <c r="F134" i="1" s="1"/>
  <c r="G134" i="1" a="1"/>
  <c r="G134" i="1" s="1"/>
  <c r="D134" i="1" s="1" a="1"/>
  <c r="D134" i="1" s="1"/>
  <c r="H134" i="1" a="1"/>
  <c r="H134" i="1" s="1"/>
  <c r="L134" i="1" a="1"/>
  <c r="L134" i="1" s="1"/>
  <c r="M134" i="1" a="1"/>
  <c r="M134" i="1" s="1"/>
  <c r="E135" i="1" a="1"/>
  <c r="E135" i="1" s="1"/>
  <c r="F135" i="1" a="1"/>
  <c r="F135" i="1" s="1"/>
  <c r="G135" i="1" a="1"/>
  <c r="G135" i="1" s="1"/>
  <c r="D135" i="1" s="1" a="1"/>
  <c r="D135" i="1" s="1"/>
  <c r="H135" i="1" a="1"/>
  <c r="H135" i="1" s="1"/>
  <c r="L135" i="1" a="1"/>
  <c r="L135" i="1" s="1"/>
  <c r="M135" i="1" a="1"/>
  <c r="M135" i="1" s="1"/>
  <c r="E136" i="1" a="1"/>
  <c r="E136" i="1" s="1"/>
  <c r="F136" i="1" a="1"/>
  <c r="F136" i="1" s="1"/>
  <c r="G136" i="1" a="1"/>
  <c r="G136" i="1" s="1"/>
  <c r="D136" i="1" s="1" a="1"/>
  <c r="D136" i="1" s="1"/>
  <c r="H136" i="1" a="1"/>
  <c r="H136" i="1" s="1"/>
  <c r="L136" i="1" a="1"/>
  <c r="L136" i="1" s="1"/>
  <c r="M136" i="1" a="1"/>
  <c r="M136" i="1" s="1"/>
  <c r="E137" i="1" a="1"/>
  <c r="E137" i="1" s="1"/>
  <c r="F137" i="1" a="1"/>
  <c r="F137" i="1" s="1"/>
  <c r="G137" i="1" a="1"/>
  <c r="G137" i="1" s="1"/>
  <c r="D137" i="1" s="1" a="1"/>
  <c r="D137" i="1" s="1"/>
  <c r="H137" i="1" a="1"/>
  <c r="H137" i="1" s="1"/>
  <c r="L137" i="1" a="1"/>
  <c r="L137" i="1" s="1"/>
  <c r="M137" i="1" a="1"/>
  <c r="M137" i="1" s="1"/>
  <c r="E138" i="1" a="1"/>
  <c r="E138" i="1" s="1"/>
  <c r="F138" i="1" a="1"/>
  <c r="F138" i="1" s="1"/>
  <c r="G138" i="1" a="1"/>
  <c r="G138" i="1" s="1"/>
  <c r="D138" i="1" s="1" a="1"/>
  <c r="D138" i="1" s="1"/>
  <c r="H138" i="1" a="1"/>
  <c r="H138" i="1" s="1"/>
  <c r="L138" i="1" a="1"/>
  <c r="L138" i="1" s="1"/>
  <c r="M138" i="1" a="1"/>
  <c r="M138" i="1" s="1"/>
  <c r="E139" i="1" a="1"/>
  <c r="E139" i="1" s="1"/>
  <c r="F139" i="1" a="1"/>
  <c r="F139" i="1" s="1"/>
  <c r="G139" i="1" a="1"/>
  <c r="G139" i="1" s="1"/>
  <c r="D139" i="1" s="1" a="1"/>
  <c r="D139" i="1" s="1"/>
  <c r="H139" i="1" a="1"/>
  <c r="H139" i="1" s="1"/>
  <c r="L139" i="1" a="1"/>
  <c r="L139" i="1" s="1"/>
  <c r="M139" i="1" a="1"/>
  <c r="M139" i="1" s="1"/>
  <c r="E140" i="1" a="1"/>
  <c r="E140" i="1" s="1"/>
  <c r="F140" i="1" a="1"/>
  <c r="F140" i="1" s="1"/>
  <c r="G140" i="1" a="1"/>
  <c r="G140" i="1" s="1"/>
  <c r="D140" i="1" s="1" a="1"/>
  <c r="D140" i="1" s="1"/>
  <c r="H140" i="1" a="1"/>
  <c r="H140" i="1" s="1"/>
  <c r="L140" i="1" a="1"/>
  <c r="L140" i="1" s="1"/>
  <c r="M140" i="1" a="1"/>
  <c r="M140" i="1" s="1"/>
  <c r="E141" i="1" a="1"/>
  <c r="E141" i="1" s="1"/>
  <c r="F141" i="1" a="1"/>
  <c r="F141" i="1" s="1"/>
  <c r="G141" i="1" a="1"/>
  <c r="G141" i="1" s="1"/>
  <c r="D141" i="1" s="1" a="1"/>
  <c r="D141" i="1" s="1"/>
  <c r="H141" i="1" a="1"/>
  <c r="H141" i="1" s="1"/>
  <c r="L141" i="1" a="1"/>
  <c r="L141" i="1" s="1"/>
  <c r="M141" i="1" a="1"/>
  <c r="M141" i="1" s="1"/>
  <c r="E142" i="1" a="1"/>
  <c r="E142" i="1" s="1"/>
  <c r="F142" i="1" a="1"/>
  <c r="F142" i="1" s="1"/>
  <c r="G142" i="1" a="1"/>
  <c r="G142" i="1" s="1"/>
  <c r="D142" i="1" s="1" a="1"/>
  <c r="D142" i="1" s="1"/>
  <c r="H142" i="1" a="1"/>
  <c r="H142" i="1" s="1"/>
  <c r="L142" i="1" a="1"/>
  <c r="L142" i="1" s="1"/>
  <c r="M142" i="1" a="1"/>
  <c r="M142" i="1" s="1"/>
  <c r="E143" i="1" a="1"/>
  <c r="E143" i="1" s="1"/>
  <c r="F143" i="1" a="1"/>
  <c r="F143" i="1" s="1"/>
  <c r="G143" i="1" a="1"/>
  <c r="G143" i="1" s="1"/>
  <c r="D143" i="1" s="1" a="1"/>
  <c r="D143" i="1" s="1"/>
  <c r="H143" i="1" a="1"/>
  <c r="H143" i="1" s="1"/>
  <c r="L143" i="1" a="1"/>
  <c r="L143" i="1" s="1"/>
  <c r="M143" i="1" a="1"/>
  <c r="M143" i="1" s="1"/>
  <c r="E144" i="1" a="1"/>
  <c r="E144" i="1" s="1"/>
  <c r="F144" i="1" a="1"/>
  <c r="F144" i="1" s="1"/>
  <c r="G144" i="1" a="1"/>
  <c r="G144" i="1" s="1"/>
  <c r="D144" i="1" s="1" a="1"/>
  <c r="D144" i="1" s="1"/>
  <c r="H144" i="1" a="1"/>
  <c r="H144" i="1" s="1"/>
  <c r="L144" i="1" a="1"/>
  <c r="L144" i="1" s="1"/>
  <c r="M144" i="1" a="1"/>
  <c r="M144" i="1" s="1"/>
  <c r="E145" i="1" a="1"/>
  <c r="E145" i="1" s="1"/>
  <c r="F145" i="1" a="1"/>
  <c r="F145" i="1" s="1"/>
  <c r="G145" i="1" a="1"/>
  <c r="G145" i="1" s="1"/>
  <c r="D145" i="1" s="1" a="1"/>
  <c r="D145" i="1" s="1"/>
  <c r="H145" i="1" a="1"/>
  <c r="H145" i="1" s="1"/>
  <c r="L145" i="1" a="1"/>
  <c r="L145" i="1" s="1"/>
  <c r="M145" i="1" a="1"/>
  <c r="M145" i="1" s="1"/>
  <c r="E146" i="1" a="1"/>
  <c r="E146" i="1" s="1"/>
  <c r="F146" i="1" a="1"/>
  <c r="F146" i="1" s="1"/>
  <c r="G146" i="1" a="1"/>
  <c r="G146" i="1" s="1"/>
  <c r="D146" i="1" s="1" a="1"/>
  <c r="D146" i="1" s="1"/>
  <c r="H146" i="1" a="1"/>
  <c r="H146" i="1" s="1"/>
  <c r="L146" i="1" a="1"/>
  <c r="L146" i="1" s="1"/>
  <c r="M146" i="1" a="1"/>
  <c r="M146" i="1" s="1"/>
  <c r="E147" i="1" a="1"/>
  <c r="E147" i="1" s="1"/>
  <c r="F147" i="1" a="1"/>
  <c r="F147" i="1" s="1"/>
  <c r="G147" i="1" a="1"/>
  <c r="G147" i="1" s="1"/>
  <c r="D147" i="1" s="1" a="1"/>
  <c r="D147" i="1" s="1"/>
  <c r="H147" i="1" a="1"/>
  <c r="H147" i="1" s="1"/>
  <c r="L147" i="1" a="1"/>
  <c r="L147" i="1" s="1"/>
  <c r="M147" i="1" a="1"/>
  <c r="M147" i="1" s="1"/>
  <c r="E148" i="1" a="1"/>
  <c r="E148" i="1" s="1"/>
  <c r="F148" i="1" a="1"/>
  <c r="F148" i="1" s="1"/>
  <c r="G148" i="1" a="1"/>
  <c r="G148" i="1" s="1"/>
  <c r="D148" i="1" s="1" a="1"/>
  <c r="D148" i="1" s="1"/>
  <c r="H148" i="1" a="1"/>
  <c r="H148" i="1" s="1"/>
  <c r="L148" i="1" a="1"/>
  <c r="L148" i="1" s="1"/>
  <c r="M148" i="1" a="1"/>
  <c r="M148" i="1" s="1"/>
  <c r="E149" i="1" a="1"/>
  <c r="E149" i="1" s="1"/>
  <c r="F149" i="1" a="1"/>
  <c r="F149" i="1" s="1"/>
  <c r="G149" i="1" a="1"/>
  <c r="G149" i="1" s="1"/>
  <c r="D149" i="1" s="1" a="1"/>
  <c r="D149" i="1" s="1"/>
  <c r="H149" i="1" a="1"/>
  <c r="H149" i="1" s="1"/>
  <c r="L149" i="1" a="1"/>
  <c r="L149" i="1" s="1"/>
  <c r="M149" i="1" a="1"/>
  <c r="M149" i="1" s="1"/>
  <c r="E150" i="1" a="1"/>
  <c r="E150" i="1" s="1"/>
  <c r="F150" i="1" a="1"/>
  <c r="F150" i="1" s="1"/>
  <c r="G150" i="1" a="1"/>
  <c r="G150" i="1" s="1"/>
  <c r="D150" i="1" s="1" a="1"/>
  <c r="D150" i="1" s="1"/>
  <c r="H150" i="1" a="1"/>
  <c r="H150" i="1" s="1"/>
  <c r="L150" i="1" a="1"/>
  <c r="L150" i="1" s="1"/>
  <c r="M150" i="1" a="1"/>
  <c r="M150" i="1" s="1"/>
  <c r="E151" i="1" a="1"/>
  <c r="E151" i="1" s="1"/>
  <c r="F151" i="1" a="1"/>
  <c r="F151" i="1" s="1"/>
  <c r="G151" i="1" a="1"/>
  <c r="G151" i="1" s="1"/>
  <c r="D151" i="1" s="1" a="1"/>
  <c r="D151" i="1" s="1"/>
  <c r="H151" i="1" a="1"/>
  <c r="H151" i="1" s="1"/>
  <c r="L151" i="1" a="1"/>
  <c r="L151" i="1" s="1"/>
  <c r="M151" i="1" a="1"/>
  <c r="M151" i="1" s="1"/>
  <c r="E152" i="1" a="1"/>
  <c r="E152" i="1" s="1"/>
  <c r="F152" i="1" a="1"/>
  <c r="F152" i="1" s="1"/>
  <c r="G152" i="1" a="1"/>
  <c r="G152" i="1" s="1"/>
  <c r="D152" i="1" s="1" a="1"/>
  <c r="D152" i="1" s="1"/>
  <c r="H152" i="1" a="1"/>
  <c r="H152" i="1" s="1"/>
  <c r="L152" i="1" a="1"/>
  <c r="L152" i="1" s="1"/>
  <c r="M152" i="1" a="1"/>
  <c r="M152" i="1" s="1"/>
  <c r="E153" i="1" a="1"/>
  <c r="E153" i="1" s="1"/>
  <c r="F153" i="1" a="1"/>
  <c r="F153" i="1" s="1"/>
  <c r="G153" i="1" a="1"/>
  <c r="G153" i="1" s="1"/>
  <c r="D153" i="1" s="1" a="1"/>
  <c r="D153" i="1" s="1"/>
  <c r="H153" i="1" a="1"/>
  <c r="H153" i="1" s="1"/>
  <c r="L153" i="1" a="1"/>
  <c r="L153" i="1" s="1"/>
  <c r="M153" i="1" a="1"/>
  <c r="M153" i="1" s="1"/>
  <c r="J88" i="1"/>
  <c r="K89" i="1"/>
  <c r="K92" i="1"/>
  <c r="J93" i="1"/>
  <c r="J94" i="1"/>
  <c r="J95" i="1"/>
  <c r="K96" i="1"/>
  <c r="AC157" i="1" a="1"/>
  <c r="AC157" i="1" s="1"/>
  <c r="J80" i="1"/>
  <c r="J75" i="1"/>
  <c r="K68" i="1"/>
  <c r="M157" i="1" a="1"/>
  <c r="M157" i="1" s="1"/>
  <c r="L157" i="1" a="1"/>
  <c r="L157" i="1" s="1"/>
  <c r="I157" i="1"/>
  <c r="H157" i="1" a="1"/>
  <c r="H157" i="1" s="1"/>
  <c r="G157" i="1" a="1"/>
  <c r="G157" i="1" s="1"/>
  <c r="D157" i="1" s="1" a="1"/>
  <c r="D157" i="1" s="1"/>
  <c r="F157" i="1" a="1"/>
  <c r="F157" i="1" s="1"/>
  <c r="E157" i="1" a="1"/>
  <c r="E157" i="1" s="1"/>
  <c r="J89" i="1" l="1"/>
  <c r="K93" i="1"/>
  <c r="J70" i="1"/>
  <c r="K70" i="1"/>
  <c r="J91" i="1"/>
  <c r="K91" i="1"/>
  <c r="K81" i="1"/>
  <c r="J81" i="1"/>
  <c r="K69" i="1"/>
  <c r="J69" i="1"/>
  <c r="J96" i="1"/>
  <c r="K80" i="1"/>
  <c r="J71" i="1"/>
  <c r="K71" i="1"/>
  <c r="J82" i="1"/>
  <c r="K82" i="1"/>
  <c r="K75" i="1"/>
  <c r="J72" i="1"/>
  <c r="K72" i="1"/>
  <c r="J90" i="1"/>
  <c r="K90" i="1"/>
  <c r="K94" i="1"/>
  <c r="K95" i="1"/>
  <c r="J68" i="1"/>
  <c r="J73" i="1"/>
  <c r="K73" i="1"/>
  <c r="J74" i="1"/>
  <c r="K74" i="1"/>
  <c r="J92" i="1"/>
  <c r="K88" i="1"/>
  <c r="J79" i="1"/>
  <c r="K79" i="1"/>
  <c r="E154" i="1" a="1"/>
  <c r="E154" i="1" s="1"/>
  <c r="F154" i="1" a="1"/>
  <c r="F154" i="1" s="1"/>
  <c r="G154" i="1" a="1"/>
  <c r="G154" i="1" s="1"/>
  <c r="D154" i="1" s="1" a="1"/>
  <c r="D154" i="1" s="1"/>
  <c r="H154" i="1" a="1"/>
  <c r="H154" i="1" s="1"/>
  <c r="I154" i="1"/>
  <c r="L154" i="1" a="1"/>
  <c r="L154" i="1" s="1"/>
  <c r="M154" i="1" a="1"/>
  <c r="M154" i="1" s="1"/>
  <c r="E155" i="1" a="1"/>
  <c r="E155" i="1" s="1"/>
  <c r="F155" i="1" a="1"/>
  <c r="F155" i="1" s="1"/>
  <c r="G155" i="1" a="1"/>
  <c r="G155" i="1" s="1"/>
  <c r="D155" i="1" s="1" a="1"/>
  <c r="D155" i="1" s="1"/>
  <c r="H155" i="1" a="1"/>
  <c r="H155" i="1" s="1"/>
  <c r="I155" i="1"/>
  <c r="L155" i="1" a="1"/>
  <c r="L155" i="1" s="1"/>
  <c r="M155" i="1" a="1"/>
  <c r="M155" i="1" s="1"/>
  <c r="E156" i="1" a="1"/>
  <c r="E156" i="1" s="1"/>
  <c r="F156" i="1" a="1"/>
  <c r="F156" i="1" s="1"/>
  <c r="G156" i="1" a="1"/>
  <c r="G156" i="1" s="1"/>
  <c r="D156" i="1" s="1" a="1"/>
  <c r="D156" i="1" s="1"/>
  <c r="H156" i="1" a="1"/>
  <c r="H156" i="1" s="1"/>
  <c r="I156" i="1"/>
  <c r="L156" i="1" a="1"/>
  <c r="L156" i="1" s="1"/>
  <c r="M156" i="1" a="1"/>
  <c r="M156" i="1" s="1"/>
  <c r="K61" i="1" l="1"/>
  <c r="J61" i="1"/>
  <c r="J25" i="1" l="1"/>
  <c r="K25" i="1"/>
  <c r="K5" i="1"/>
  <c r="J5" i="1"/>
  <c r="K10" i="1"/>
  <c r="AC156" i="1" l="1" a="1"/>
  <c r="AC156" i="1" s="1"/>
  <c r="AC155" i="1" a="1"/>
  <c r="AC155" i="1" s="1"/>
  <c r="AC154" i="1" a="1"/>
  <c r="AC154" i="1" s="1"/>
  <c r="AC153" i="1" a="1"/>
  <c r="AC153" i="1" s="1"/>
  <c r="AC152" i="1" a="1"/>
  <c r="AC152" i="1" s="1"/>
  <c r="AC151" i="1" a="1"/>
  <c r="AC151" i="1" s="1"/>
  <c r="AC150" i="1" a="1"/>
  <c r="AC150" i="1" s="1"/>
  <c r="AC149" i="1" a="1"/>
  <c r="AC149" i="1" s="1"/>
  <c r="AC148" i="1" a="1"/>
  <c r="AC148" i="1" s="1"/>
  <c r="AC147" i="1" a="1"/>
  <c r="AC147" i="1" s="1"/>
  <c r="AC146" i="1" a="1"/>
  <c r="AC146" i="1" s="1"/>
  <c r="AC145" i="1" a="1"/>
  <c r="AC145" i="1" s="1"/>
  <c r="AC144" i="1" a="1"/>
  <c r="AC144" i="1" s="1"/>
  <c r="AC143" i="1" a="1"/>
  <c r="AC143" i="1" s="1"/>
  <c r="AC142" i="1" a="1"/>
  <c r="AC142" i="1" s="1"/>
  <c r="AC141" i="1" a="1"/>
  <c r="AC141" i="1" s="1"/>
  <c r="I3" i="30"/>
  <c r="G3" i="30"/>
  <c r="F3" i="30"/>
  <c r="C3" i="30" s="1" a="1"/>
  <c r="C3" i="30" s="1"/>
  <c r="E3" i="30"/>
  <c r="D3" i="30"/>
  <c r="J15" i="1" l="1"/>
  <c r="K15" i="1"/>
  <c r="K24" i="1"/>
  <c r="J32" i="1"/>
  <c r="K32" i="1"/>
  <c r="J40" i="1"/>
  <c r="K40" i="1"/>
  <c r="K53" i="1"/>
  <c r="J53" i="1"/>
  <c r="J62" i="1"/>
  <c r="K62" i="1"/>
  <c r="J78" i="1"/>
  <c r="K78" i="1"/>
  <c r="K99" i="1"/>
  <c r="J99" i="1"/>
  <c r="J107" i="1"/>
  <c r="K107" i="1"/>
  <c r="J115" i="1"/>
  <c r="K115" i="1"/>
  <c r="J123" i="1"/>
  <c r="K123" i="1"/>
  <c r="J131" i="1"/>
  <c r="K131" i="1"/>
  <c r="J139" i="1"/>
  <c r="K139" i="1"/>
  <c r="J147" i="1"/>
  <c r="K147" i="1"/>
  <c r="J6" i="1"/>
  <c r="K6" i="1"/>
  <c r="J16" i="1"/>
  <c r="K16" i="1"/>
  <c r="K26" i="1"/>
  <c r="J26" i="1"/>
  <c r="K33" i="1"/>
  <c r="J33" i="1"/>
  <c r="K41" i="1"/>
  <c r="J41" i="1"/>
  <c r="J54" i="1"/>
  <c r="K54" i="1"/>
  <c r="J63" i="1"/>
  <c r="K63" i="1"/>
  <c r="J83" i="1"/>
  <c r="K83" i="1"/>
  <c r="J100" i="1"/>
  <c r="K100" i="1"/>
  <c r="K108" i="1"/>
  <c r="J108" i="1"/>
  <c r="K116" i="1"/>
  <c r="J116" i="1"/>
  <c r="J124" i="1"/>
  <c r="K124" i="1"/>
  <c r="J132" i="1"/>
  <c r="K132" i="1"/>
  <c r="J140" i="1"/>
  <c r="K140" i="1"/>
  <c r="J148" i="1"/>
  <c r="K148" i="1"/>
  <c r="J17" i="1"/>
  <c r="K17" i="1"/>
  <c r="K34" i="1"/>
  <c r="J34" i="1"/>
  <c r="K42" i="1"/>
  <c r="J42" i="1"/>
  <c r="J55" i="1"/>
  <c r="K55" i="1"/>
  <c r="J64" i="1"/>
  <c r="K64" i="1"/>
  <c r="K84" i="1"/>
  <c r="J84" i="1"/>
  <c r="J101" i="1"/>
  <c r="K101" i="1"/>
  <c r="J109" i="1"/>
  <c r="K109" i="1"/>
  <c r="J117" i="1"/>
  <c r="K117" i="1"/>
  <c r="J125" i="1"/>
  <c r="K125" i="1"/>
  <c r="J133" i="1"/>
  <c r="K133" i="1"/>
  <c r="K141" i="1"/>
  <c r="J141" i="1"/>
  <c r="K149" i="1"/>
  <c r="J149" i="1"/>
  <c r="J7" i="1"/>
  <c r="K7" i="1"/>
  <c r="K18" i="1"/>
  <c r="J18" i="1"/>
  <c r="J27" i="1"/>
  <c r="K27" i="1"/>
  <c r="J35" i="1"/>
  <c r="K35" i="1"/>
  <c r="J43" i="1"/>
  <c r="K43" i="1"/>
  <c r="J48" i="1"/>
  <c r="K48" i="1"/>
  <c r="J56" i="1"/>
  <c r="K56" i="1"/>
  <c r="J65" i="1"/>
  <c r="K65" i="1"/>
  <c r="J85" i="1"/>
  <c r="K85" i="1"/>
  <c r="K102" i="1"/>
  <c r="J102" i="1"/>
  <c r="K110" i="1"/>
  <c r="J110" i="1"/>
  <c r="K118" i="1"/>
  <c r="J118" i="1"/>
  <c r="K126" i="1"/>
  <c r="J126" i="1"/>
  <c r="K134" i="1"/>
  <c r="J134" i="1"/>
  <c r="K142" i="1"/>
  <c r="J142" i="1"/>
  <c r="K150" i="1"/>
  <c r="J150" i="1"/>
  <c r="K12" i="1"/>
  <c r="K19" i="1"/>
  <c r="J19" i="1"/>
  <c r="J28" i="1"/>
  <c r="K28" i="1"/>
  <c r="J36" i="1"/>
  <c r="K36" i="1"/>
  <c r="J44" i="1"/>
  <c r="K44" i="1"/>
  <c r="K49" i="1"/>
  <c r="J49" i="1"/>
  <c r="J57" i="1"/>
  <c r="K57" i="1"/>
  <c r="J66" i="1"/>
  <c r="K66" i="1"/>
  <c r="J86" i="1"/>
  <c r="K86" i="1"/>
  <c r="J103" i="1"/>
  <c r="K103" i="1"/>
  <c r="J111" i="1"/>
  <c r="K111" i="1"/>
  <c r="J119" i="1"/>
  <c r="K119" i="1"/>
  <c r="J127" i="1"/>
  <c r="K127" i="1"/>
  <c r="J135" i="1"/>
  <c r="K135" i="1"/>
  <c r="J143" i="1"/>
  <c r="K143" i="1"/>
  <c r="J151" i="1"/>
  <c r="K151" i="1"/>
  <c r="K8" i="1"/>
  <c r="J20" i="1"/>
  <c r="K20" i="1"/>
  <c r="J29" i="1"/>
  <c r="K29" i="1"/>
  <c r="J37" i="1"/>
  <c r="K37" i="1"/>
  <c r="J45" i="1"/>
  <c r="K45" i="1"/>
  <c r="J50" i="1"/>
  <c r="K50" i="1"/>
  <c r="J58" i="1"/>
  <c r="K58" i="1"/>
  <c r="J67" i="1"/>
  <c r="K67" i="1"/>
  <c r="K87" i="1"/>
  <c r="J87" i="1"/>
  <c r="J104" i="1"/>
  <c r="K104" i="1"/>
  <c r="J112" i="1"/>
  <c r="K112" i="1"/>
  <c r="J120" i="1"/>
  <c r="K120" i="1"/>
  <c r="J128" i="1"/>
  <c r="K128" i="1"/>
  <c r="J136" i="1"/>
  <c r="K136" i="1"/>
  <c r="J144" i="1"/>
  <c r="K144" i="1"/>
  <c r="J152" i="1"/>
  <c r="K152" i="1"/>
  <c r="K9" i="1"/>
  <c r="J13" i="1"/>
  <c r="K13" i="1"/>
  <c r="J22" i="1"/>
  <c r="K22" i="1"/>
  <c r="J30" i="1"/>
  <c r="K30" i="1"/>
  <c r="J38" i="1"/>
  <c r="K38" i="1"/>
  <c r="J46" i="1"/>
  <c r="K46" i="1"/>
  <c r="J51" i="1"/>
  <c r="K51" i="1"/>
  <c r="J59" i="1"/>
  <c r="K59" i="1"/>
  <c r="K76" i="1"/>
  <c r="J76" i="1"/>
  <c r="K97" i="1"/>
  <c r="J97" i="1"/>
  <c r="J105" i="1"/>
  <c r="K105" i="1"/>
  <c r="J113" i="1"/>
  <c r="K113" i="1"/>
  <c r="J121" i="1"/>
  <c r="K121" i="1"/>
  <c r="J129" i="1"/>
  <c r="K129" i="1"/>
  <c r="J137" i="1"/>
  <c r="K137" i="1"/>
  <c r="J145" i="1"/>
  <c r="K145" i="1"/>
  <c r="J153" i="1"/>
  <c r="K153" i="1"/>
  <c r="J11" i="1"/>
  <c r="K11" i="1"/>
  <c r="J14" i="1"/>
  <c r="K14" i="1"/>
  <c r="K23" i="1"/>
  <c r="J31" i="1"/>
  <c r="K31" i="1"/>
  <c r="J39" i="1"/>
  <c r="K39" i="1"/>
  <c r="K47" i="1"/>
  <c r="J47" i="1"/>
  <c r="K52" i="1"/>
  <c r="J52" i="1"/>
  <c r="K60" i="1"/>
  <c r="J60" i="1"/>
  <c r="K77" i="1"/>
  <c r="J77" i="1"/>
  <c r="J98" i="1"/>
  <c r="K98" i="1"/>
  <c r="J106" i="1"/>
  <c r="K106" i="1"/>
  <c r="J114" i="1"/>
  <c r="K114" i="1"/>
  <c r="J122" i="1"/>
  <c r="K122" i="1"/>
  <c r="J130" i="1"/>
  <c r="K130" i="1"/>
  <c r="J138" i="1"/>
  <c r="K138" i="1"/>
  <c r="J146" i="1"/>
  <c r="K146" i="1"/>
  <c r="K157" i="1"/>
  <c r="J157" i="1"/>
  <c r="J154" i="1"/>
  <c r="K154" i="1"/>
  <c r="K155" i="1"/>
  <c r="J155" i="1"/>
  <c r="J156" i="1"/>
  <c r="K15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tc={CB1EFC2C-CFD9-496E-88CA-2D45E4A3D038}</author>
    <author>tc={9D141DB8-B5AF-4FFF-A60A-B90CAC6C04C1}</author>
  </authors>
  <commentList>
    <comment ref="B2" authorId="0" shapeId="0" xr:uid="{CB1EFC2C-CFD9-496E-88CA-2D45E4A3D038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Rispondi:
Per i pacchetti jcl anagrafe inserire come code”SG-ANAGRAFE” per EDW dei pacchetti SS01 inserir code “DW01A”</t>
      </text>
    </comment>
    <comment ref="C2" authorId="1" shapeId="0" xr:uid="{9D141DB8-B5AF-4FFF-A60A-B90CAC6C04C1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Per le pipeline di integrazione ci forniscono i link puntuali. Inserire in questa colonna il nome del Codice Applicazione.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tc={8837B14F-8421-40D4-805E-4EE4555811BC}</author>
    <author>tc={7DC951DA-53C2-4874-B777-513660957D56}</author>
  </authors>
  <commentList>
    <comment ref="A2" authorId="0" shapeId="0" xr:uid="{8837B14F-8421-40D4-805E-4EE4555811BC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Inserire il code application per EDW - JCL - SV - SC</t>
      </text>
    </comment>
    <comment ref="O2" authorId="1" shapeId="0" xr:uid="{7DC951DA-53C2-4874-B777-513660957D56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Inserire il code application per EDW - JCL - SV - SC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<sst xmlns="http://schemas.openxmlformats.org/spreadsheetml/2006/main" count="1760" uniqueCount="383">
  <si>
    <r>
      <t>DETTAGLIO RILASCIO RDMA
(inserire nella colonna "C" il nome del pacchetto / pipeline indicato in lettera di rilascio)
(le informazioni ricavate nelle colonne "D"-"E"-"F -G-H " possono essere copiate/incollate nelle rispettive colonne del file "</t>
    </r>
    <r>
      <rPr>
        <b/>
        <i/>
        <sz val="11"/>
        <color theme="1"/>
        <rFont val="Calibri"/>
        <family val="2"/>
        <scheme val="minor"/>
      </rPr>
      <t>RDMA in corso alla data odierna</t>
    </r>
    <r>
      <rPr>
        <b/>
        <sz val="11"/>
        <color theme="1"/>
        <rFont val="Calibri"/>
        <family val="2"/>
        <scheme val="minor"/>
      </rPr>
      <t>")</t>
    </r>
  </si>
  <si>
    <t>Lettera di rilascio</t>
  </si>
  <si>
    <t>Code Application</t>
  </si>
  <si>
    <t>Package IKAN ALM - Pipeleine AZURE DEVOPS</t>
  </si>
  <si>
    <t>Change Ev</t>
  </si>
  <si>
    <t>Responsabile/Team</t>
  </si>
  <si>
    <t>Description RDMA</t>
  </si>
  <si>
    <t>Application</t>
  </si>
  <si>
    <t>Deploy Mode</t>
  </si>
  <si>
    <t>Project IKAN ALM</t>
  </si>
  <si>
    <t>Scheduling time Production</t>
  </si>
  <si>
    <t>Type</t>
  </si>
  <si>
    <t>N° SERVICE REQUEST JCL</t>
  </si>
  <si>
    <t>ESITO PREPROD</t>
  </si>
  <si>
    <t>ESITO ESERCIZIO</t>
  </si>
  <si>
    <t>OK</t>
  </si>
  <si>
    <t xml:space="preserve"> </t>
  </si>
  <si>
    <t>in corso</t>
  </si>
  <si>
    <r>
      <t>DETTAGLIO RILASCIO RDMA - ATTIVITA VARIE SU SISTEMI
(dalla colonna "B" selezionare dal menù a tendina il rilascio da censire "Attività DBA-LINUX- WINDOWS-Control Room)
(le informazioni ricavate nelle colonne "C-D"-"E"-"F-G" possono essere copiate/incollate nelle rispettive colonne del file "</t>
    </r>
    <r>
      <rPr>
        <b/>
        <i/>
        <sz val="11"/>
        <color theme="1"/>
        <rFont val="Calibri"/>
        <family val="2"/>
        <scheme val="minor"/>
      </rPr>
      <t>RDMA in corso alla data odierna</t>
    </r>
    <r>
      <rPr>
        <b/>
        <sz val="11"/>
        <color theme="1"/>
        <rFont val="Calibri"/>
        <family val="2"/>
        <scheme val="minor"/>
      </rPr>
      <t>")</t>
    </r>
  </si>
  <si>
    <t>Package IKAN ALM - Pipeleine AZURE DEVOPS - Others</t>
  </si>
  <si>
    <t>Responsabili</t>
  </si>
  <si>
    <t>N° SERVICE REQUEST</t>
  </si>
  <si>
    <t>Esiti</t>
  </si>
  <si>
    <t>Db SIGEA SINISTRI</t>
  </si>
  <si>
    <t>Db AIA</t>
  </si>
  <si>
    <t>Db AUTO Pass Prodotti/Pass Doc</t>
  </si>
  <si>
    <t>Db Anagrafe</t>
  </si>
  <si>
    <t>KO</t>
  </si>
  <si>
    <t>Db RE Pass Prodotti/Pass Doc</t>
  </si>
  <si>
    <t>Db promote PPEVO</t>
  </si>
  <si>
    <t>Db Auto Sigea SV</t>
  </si>
  <si>
    <t>na</t>
  </si>
  <si>
    <t>Win Documentale Sinistri</t>
  </si>
  <si>
    <t>Db BLAY 1/3</t>
  </si>
  <si>
    <t>Lin Riassi</t>
  </si>
  <si>
    <t>Db BOA</t>
  </si>
  <si>
    <t>Win GNRO1A</t>
  </si>
  <si>
    <t>Db CARD2017</t>
  </si>
  <si>
    <t xml:space="preserve">Db GNR01A </t>
  </si>
  <si>
    <t>db CRM</t>
  </si>
  <si>
    <t>Pega ISAAC</t>
  </si>
  <si>
    <t>Db DW01A</t>
  </si>
  <si>
    <t>Win AIA</t>
  </si>
  <si>
    <t xml:space="preserve">Db Edi </t>
  </si>
  <si>
    <t>Db Firma Web Service</t>
  </si>
  <si>
    <t>Db FATTPA</t>
  </si>
  <si>
    <t>Lin SSO</t>
  </si>
  <si>
    <t>Db FLEXCOMM</t>
  </si>
  <si>
    <t>Db GECO</t>
  </si>
  <si>
    <t>Db GPA</t>
  </si>
  <si>
    <t>Db HA</t>
  </si>
  <si>
    <t>Db ICM Rivalse</t>
  </si>
  <si>
    <t>DB Jestweb</t>
  </si>
  <si>
    <t>DB LMUP</t>
  </si>
  <si>
    <t>Db Oreste</t>
  </si>
  <si>
    <t>Db PASAU 1/3</t>
  </si>
  <si>
    <t>Db PASON</t>
  </si>
  <si>
    <t>Db PASPO</t>
  </si>
  <si>
    <t>Db POQ</t>
  </si>
  <si>
    <t>Db PortColl</t>
  </si>
  <si>
    <t>DB PPEVO</t>
  </si>
  <si>
    <t>DB Qiss</t>
  </si>
  <si>
    <t>DB QUADIENT</t>
  </si>
  <si>
    <t>Db Riassi</t>
  </si>
  <si>
    <t>Db Ribes</t>
  </si>
  <si>
    <t>Db SG01A</t>
  </si>
  <si>
    <t>Db SSWEB</t>
  </si>
  <si>
    <t>Db VIS</t>
  </si>
  <si>
    <t>GRMASCAN</t>
  </si>
  <si>
    <t>Lin 6ANAG</t>
  </si>
  <si>
    <t>Lin 6SSWEB</t>
  </si>
  <si>
    <t>Lin ABMON</t>
  </si>
  <si>
    <t>Lin Card</t>
  </si>
  <si>
    <t>Lin DW0</t>
  </si>
  <si>
    <t>Lin ECV</t>
  </si>
  <si>
    <t>Lin FLXCO</t>
  </si>
  <si>
    <t>Lin Oreste Web</t>
  </si>
  <si>
    <t>Lin VIS</t>
  </si>
  <si>
    <t>Lin VITES</t>
  </si>
  <si>
    <t>Solution CRM</t>
  </si>
  <si>
    <t>Win BOA</t>
  </si>
  <si>
    <t>Win CRM</t>
  </si>
  <si>
    <t>Win Documentale Portafoglio</t>
  </si>
  <si>
    <t>Win Edi</t>
  </si>
  <si>
    <t>Win Firma Web Services</t>
  </si>
  <si>
    <t>Win VIS</t>
  </si>
  <si>
    <r>
      <t xml:space="preserve">INSERIRE NELLA CELLA </t>
    </r>
    <r>
      <rPr>
        <b/>
        <sz val="11"/>
        <color rgb="FFFF0000"/>
        <rFont val="Calibri"/>
        <family val="2"/>
        <scheme val="minor"/>
      </rPr>
      <t>A2</t>
    </r>
    <r>
      <rPr>
        <b/>
        <sz val="11"/>
        <color theme="1"/>
        <rFont val="Calibri"/>
        <family val="2"/>
        <scheme val="minor"/>
      </rPr>
      <t xml:space="preserve"> LE APPLICAZIONI RECUPERATE DALLA CHANGE MADRE. NON TOCCARE ALTRE CELLE CON FORMULE(serve per estrarre change easy vista)</t>
    </r>
  </si>
  <si>
    <t>NO</t>
  </si>
  <si>
    <t>N°</t>
  </si>
  <si>
    <t>Codice Applicazione</t>
  </si>
  <si>
    <t>Numero Call evolutiva evasa / Features</t>
  </si>
  <si>
    <t>Numero Incident evaso</t>
  </si>
  <si>
    <t>Richiedente</t>
  </si>
  <si>
    <t>Area Funzionale</t>
  </si>
  <si>
    <t>Referente Applicativo</t>
  </si>
  <si>
    <t>Intervento Evolutivo o Correttivo</t>
  </si>
  <si>
    <t>Compagnia</t>
  </si>
  <si>
    <t>Blocco produzione</t>
  </si>
  <si>
    <t>Note</t>
  </si>
  <si>
    <t>Pacchetto IKAN ALM / Pipeline</t>
  </si>
  <si>
    <t>EAIBlueTargetIntegrator</t>
  </si>
  <si>
    <t>Nisi</t>
  </si>
  <si>
    <t>TUTTE</t>
  </si>
  <si>
    <t>EAICrmTargetIntegrator</t>
  </si>
  <si>
    <t>EAICNNTargetIntegrator</t>
  </si>
  <si>
    <t>Evolutivo</t>
  </si>
  <si>
    <t>RMAEAICONSOLLE</t>
  </si>
  <si>
    <t>7RMAEAI-COR-RESERVED</t>
  </si>
  <si>
    <t>EVO INTERNA</t>
  </si>
  <si>
    <t>M. Martino</t>
  </si>
  <si>
    <t>BUILD 11</t>
  </si>
  <si>
    <t>ApiCommon</t>
  </si>
  <si>
    <t>https://dev.azure.com/realeitesorg/it.integration/_build/results?buildId=356946&amp;view=results</t>
  </si>
  <si>
    <t>ApiCosmos</t>
  </si>
  <si>
    <t>https://dev.azure.com/realeitesorg/it.integration/_build/results?buildId=354617&amp;view=results</t>
  </si>
  <si>
    <t>ApiPagoPA</t>
  </si>
  <si>
    <t>https://dev.azure.com/realeitesorg/it.integration/_build/results?buildId=356947&amp;view=results</t>
  </si>
  <si>
    <t>ApiSigea</t>
  </si>
  <si>
    <t>https://dev.azure.com/realeitesorg/it.integration/_build/results?buildId=356948&amp;view=results</t>
  </si>
  <si>
    <t>ApiSinistri</t>
  </si>
  <si>
    <t>https://dev.azure.com/realeitesorg/it.integration/_build/results?buildId=356949&amp;view=results</t>
  </si>
  <si>
    <t>ApiVita</t>
  </si>
  <si>
    <t>https://dev.azure.com/realeitesorg/it.integration/_build/results?buildId=356954&amp;view=results</t>
  </si>
  <si>
    <t>EIApiLettereSinistri</t>
  </si>
  <si>
    <t>https://dev.azure.com/realeitesorg/it.integration/_build/results?buildId=356955&amp;view=results</t>
  </si>
  <si>
    <t>EICommonDelivery</t>
  </si>
  <si>
    <t>https://dev.azure.com/realeitesorg/it.integration/_build/results?buildId=356956&amp;view=results</t>
  </si>
  <si>
    <t>EIContabNumSistema</t>
  </si>
  <si>
    <t>https://dev.azure.com/realeitesorg/it.integration/_build/results?buildId=356957&amp;view=results</t>
  </si>
  <si>
    <t>EIContabPolizVitaAIA</t>
  </si>
  <si>
    <t>https://dev.azure.com/realeitesorg/it.integration/_build/results?buildId=357053&amp;view=results</t>
  </si>
  <si>
    <t>EIContabWrap</t>
  </si>
  <si>
    <t>https://dev.azure.com/realeitesorg/it.integration/_build/results?buildId=357066&amp;view=results</t>
  </si>
  <si>
    <t>EIEventoconnectInsert</t>
  </si>
  <si>
    <t>https://dev.azure.com/realeitesorg/it.integration/_build/results?buildId=357071&amp;view=results</t>
  </si>
  <si>
    <t>EIGianosWrap4D</t>
  </si>
  <si>
    <t>https://dev.azure.com/realeitesorg/it.integration/_build/results?buildId=357226&amp;view=results</t>
  </si>
  <si>
    <t>EIPassMobileWrap</t>
  </si>
  <si>
    <t>https://dev.azure.com/realeitesorg/it.integration/_build/results?buildId=357243&amp;view=results</t>
  </si>
  <si>
    <t>EIPpevo</t>
  </si>
  <si>
    <t>https://dev.azure.com/realeitesorg/it.integration/_build/results?buildId=357248&amp;view=results</t>
  </si>
  <si>
    <t>EAIAiaTargetIntegrator</t>
  </si>
  <si>
    <t>https://dev.azure.com/realeitesorg/it.integration/_build/results?buildId=357341&amp;view=results</t>
  </si>
  <si>
    <t>EAIAreaRiservataTargetIntegrator</t>
  </si>
  <si>
    <t>https://dev.azure.com/realeitesorg/it.integration/_build/results?buildId=357369&amp;view=results</t>
  </si>
  <si>
    <t>https://dev.azure.com/realeitesorg/it.integration/_build/results?buildId=357395&amp;view=results</t>
  </si>
  <si>
    <t>https://dev.azure.com/realeitesorg/it.integration/_build/results?buildId=357417&amp;view=results</t>
  </si>
  <si>
    <t>https://dev.azure.com/realeitesorg/it.integration/_build/results?buildId=357447&amp;view=results</t>
  </si>
  <si>
    <t>EAIDigitalPlatformTargetIntegrator</t>
  </si>
  <si>
    <t>https://dev.azure.com/realeitesorg/it.integration/_build/results?buildId=357551&amp;view=results</t>
  </si>
  <si>
    <t>EAIDocumentaleTargetIntegrator</t>
  </si>
  <si>
    <t>https://dev.azure.com/realeitesorg/it.integration/_build/results?buildId=357560&amp;view=results</t>
  </si>
  <si>
    <t>EAIElasticTargetIntegrator</t>
  </si>
  <si>
    <t>https://dev.azure.com/realeitesorg/it.integration/_build/results?buildId=357569&amp;view=results</t>
  </si>
  <si>
    <t>EAIFabriktargetIntegrator</t>
  </si>
  <si>
    <t>https://dev.azure.com/realeitesorg/it.integration/_build/results?buildId=357575&amp;view=results</t>
  </si>
  <si>
    <t>EAIGrandineTargetIntegrator</t>
  </si>
  <si>
    <t>https://dev.azure.com/realeitesorg/it.integration/_build/results?buildId=357585&amp;view=results</t>
  </si>
  <si>
    <t>EAIListodromotargetIntegrator</t>
  </si>
  <si>
    <t>https://dev.azure.com/realeitesorg/it.integration/_build/results?buildId=357602&amp;view=results</t>
  </si>
  <si>
    <t>EAIOinsTargetIntegrator</t>
  </si>
  <si>
    <t>https://dev.azure.com/realeitesorg/it.integration/_build/results?buildId=357614&amp;view=results</t>
  </si>
  <si>
    <t>EAIPassAutoTargetIntegrator</t>
  </si>
  <si>
    <t>https://dev.azure.com/realeitesorg/it.integration/_build/results?buildId=357623&amp;view=results</t>
  </si>
  <si>
    <t>EAIPassTargetIntegrator</t>
  </si>
  <si>
    <t>https://dev.azure.com/realeitesorg/it.integration/_build/results?buildId=357637&amp;view=results</t>
  </si>
  <si>
    <t>EAIPegaTargetIntegrator</t>
  </si>
  <si>
    <t>https://dev.azure.com/realeitesorg/it.integration/_build/results?buildId=357648&amp;view=results</t>
  </si>
  <si>
    <t>EAIPoqTargetIntegrator</t>
  </si>
  <si>
    <t>https://dev.azure.com/realeitesorg/it.integration/_build/results?buildId=357666&amp;view=results</t>
  </si>
  <si>
    <t>EAIPositivTargetIntegrator</t>
  </si>
  <si>
    <t>https://dev.azure.com/realeitesorg/it.integration/_build/results?buildId=357669&amp;view=results</t>
  </si>
  <si>
    <t>EAIPpevoTargetIntegrator</t>
  </si>
  <si>
    <t>https://dev.azure.com/realeitesorg/it.integration/_build/results?buildId=357678&amp;view=results</t>
  </si>
  <si>
    <t>EAISigeaTargetIntegrator</t>
  </si>
  <si>
    <t>https://dev.azure.com/realeitesorg/it.integration/_build/results?buildId=357695&amp;view=results</t>
  </si>
  <si>
    <t>EAIStqdTargetIntegrator</t>
  </si>
  <si>
    <t>https://dev.azure.com/realeitesorg/it.integration/_build/results?buildId=357698&amp;view=results</t>
  </si>
  <si>
    <t>EAIVisTargetIntegrator</t>
  </si>
  <si>
    <t>https://dev.azure.com/realeitesorg/it.integration/_build/results?buildId=357701&amp;view=results</t>
  </si>
  <si>
    <t>pason_CORRETTIVA</t>
  </si>
  <si>
    <t>pasba_CORRETTIVA</t>
  </si>
  <si>
    <t>APIAnagrafeRealeItes_CORRETTIVA</t>
  </si>
  <si>
    <t>APIAutoRealeItes_CORRETTIVA</t>
  </si>
  <si>
    <t>APIVitaRealeItes_CORRETTIVA</t>
  </si>
  <si>
    <t>BFFSinistriRealeItes_CORRETTIVA</t>
  </si>
  <si>
    <t>SS01OTX-COR-24943</t>
  </si>
  <si>
    <t>VITES_CORRETTIVA</t>
  </si>
  <si>
    <t>Ambiente (Prep o Prod)</t>
  </si>
  <si>
    <t>Service Request</t>
  </si>
  <si>
    <t>Descrizione modifica richiesta</t>
  </si>
  <si>
    <t>Data/ora esecuzione Modifica (se non coincidono con rilascio notturno)</t>
  </si>
  <si>
    <t>GNR01A</t>
  </si>
  <si>
    <t>Prod</t>
  </si>
  <si>
    <t>SR20260821_0026</t>
  </si>
  <si>
    <t>Sostituzione BAT, come da istruzioni nella Service Request</t>
  </si>
  <si>
    <t>Applicazione</t>
  </si>
  <si>
    <t>Tipologia di modifica</t>
  </si>
  <si>
    <t>Elenco Colonne da mascherare in test</t>
  </si>
  <si>
    <t>Data/ora esecuzione modifica (se non coincidono con rilascio notturno)</t>
  </si>
  <si>
    <t>Prep</t>
  </si>
  <si>
    <t>SR20260821_0024</t>
  </si>
  <si>
    <t>Esecuzione dei files SQL nello Zip "Script aggiornamenti.zip", come da istruzioni nella SR</t>
  </si>
  <si>
    <t>SR20260821_0025</t>
  </si>
  <si>
    <t>SR20260821_0027</t>
  </si>
  <si>
    <t>pasau_CORRETTIVA_DEPLOY</t>
  </si>
  <si>
    <t>pasauba_CORRETTIVA_DEPLOY</t>
  </si>
  <si>
    <t>anagrafeweb.ApiAnagrafeBE_CORRETTIVA </t>
  </si>
  <si>
    <t>anagrafeweb_batch_CORRETTIVA (estrazioniAnagrafiche ) </t>
  </si>
  <si>
    <t>anagrafeweb_batch_CORRETTIVA (aggiornAnagrafica) </t>
  </si>
  <si>
    <t>H_CP_b240</t>
  </si>
  <si>
    <t>AIA</t>
  </si>
  <si>
    <t>SR20260812_0046</t>
  </si>
  <si>
    <t>Rilascio Correttivo</t>
  </si>
  <si>
    <t>Da rilasciare i file depositati nella cartella:  </t>
  </si>
  <si>
    <t>\\netapp-prde\schedulazione\rilasci </t>
  </si>
  <si>
    <t>SR20260814_0016</t>
  </si>
  <si>
    <t>Creazione nuovo campo</t>
  </si>
  <si>
    <t>SR20260814_0018</t>
  </si>
  <si>
    <t>SR20260821_0032</t>
  </si>
  <si>
    <t>Creazione nuovi campi</t>
  </si>
  <si>
    <t>SR20260821_0033</t>
  </si>
  <si>
    <t>SR20260814_0018 - SR20260821_0033</t>
  </si>
  <si>
    <t>C20260806_0083</t>
  </si>
  <si>
    <t>N/A</t>
  </si>
  <si>
    <t>C20260814_0040</t>
  </si>
  <si>
    <t>Non ci sono vincoli</t>
  </si>
  <si>
    <t>C20260817_0020</t>
  </si>
  <si>
    <t>Nessuno</t>
  </si>
  <si>
    <t>C20260820_0013</t>
  </si>
  <si>
    <t>NA</t>
  </si>
  <si>
    <t>C20260820_0046</t>
  </si>
  <si>
    <t>C20260821_0008</t>
  </si>
  <si>
    <t>No</t>
  </si>
  <si>
    <t>C20260821_0020</t>
  </si>
  <si>
    <t>rilascio vites</t>
  </si>
  <si>
    <t>C20260821_0028</t>
  </si>
  <si>
    <t>Nessuno.</t>
  </si>
  <si>
    <t>C20260821_0043</t>
  </si>
  <si>
    <t>C20260821_0045</t>
  </si>
  <si>
    <t>nessun vincolo</t>
  </si>
  <si>
    <t>C20260821_0050</t>
  </si>
  <si>
    <t>Effettuare come ultimo step del rilascio del documentale di portafoglio</t>
  </si>
  <si>
    <t>C20260821_0053</t>
  </si>
  <si>
    <t>Eseguire prima la parte in HD2-DBA-ORACLE</t>
  </si>
  <si>
    <t>C20260821_0054</t>
  </si>
  <si>
    <t>Nessun vincolo.</t>
  </si>
  <si>
    <t>Pacchetto IKAN ALM</t>
  </si>
  <si>
    <t>SIWEB</t>
  </si>
  <si>
    <t>I20260804_0057</t>
  </si>
  <si>
    <t>B.Toppia</t>
  </si>
  <si>
    <t>SMART</t>
  </si>
  <si>
    <t>S.Faienza</t>
  </si>
  <si>
    <t>Correttivo</t>
  </si>
  <si>
    <t>Gruppo</t>
  </si>
  <si>
    <t>SS0PF6E (Flusso GERIT per Sinistri FGVS)</t>
  </si>
  <si>
    <t>BU</t>
  </si>
  <si>
    <t>Emissione</t>
  </si>
  <si>
    <t>Colombo</t>
  </si>
  <si>
    <t>ITA/RMA</t>
  </si>
  <si>
    <t>Modifica fase conclusiva PIP</t>
  </si>
  <si>
    <t>Modifiche preventivatore</t>
  </si>
  <si>
    <t>Banco Desio</t>
  </si>
  <si>
    <t>Banche</t>
  </si>
  <si>
    <t>errore adeguato verifica versamenti integrativi con rafforzata</t>
  </si>
  <si>
    <t>PassProdotti</t>
  </si>
  <si>
    <t>N Service Request per Schedulazione</t>
  </si>
  <si>
    <t>Data apertura Service Request</t>
  </si>
  <si>
    <t>Pacchetto IKAN ALM/ Applicazione</t>
  </si>
  <si>
    <t>Service Request chiusa (SI/NO)?</t>
  </si>
  <si>
    <t>SR20260810_0024</t>
  </si>
  <si>
    <t>rilascio applicazione AV£0180</t>
  </si>
  <si>
    <t>SR20260810_0027</t>
  </si>
  <si>
    <t>rilascio applicazione AV£0135</t>
  </si>
  <si>
    <t>SR20260810_0030</t>
  </si>
  <si>
    <t>rilascio applicazione AV£0136</t>
  </si>
  <si>
    <t>Pipeline</t>
  </si>
  <si>
    <t>Funzionalità</t>
  </si>
  <si>
    <t>Numero Call evolutiva evasa</t>
  </si>
  <si>
    <t>Intervento Evolutivo o correttivo</t>
  </si>
  <si>
    <t>Portale</t>
  </si>
  <si>
    <t>Blocco</t>
  </si>
  <si>
    <t>produzione</t>
  </si>
  <si>
    <t>Impatti su WS</t>
  </si>
  <si>
    <t>Impatti su connettori</t>
  </si>
  <si>
    <t>Impatti su link</t>
  </si>
  <si>
    <t>Impatti su UI che impattano NRT</t>
  </si>
  <si>
    <t>Fix di Agosto</t>
  </si>
  <si>
    <t>Bug 274810: Elastic search per Arbitrato</t>
  </si>
  <si>
    <t>20AH9.C0</t>
  </si>
  <si>
    <t>Angelo Gallo</t>
  </si>
  <si>
    <t>Annarita Catarinella</t>
  </si>
  <si>
    <t>Direzione</t>
  </si>
  <si>
    <t>6SSWEB1/3</t>
  </si>
  <si>
    <t>#20260819.1_RMA • Merged PR 74077: enable junit Metasalute</t>
  </si>
  <si>
    <t>#20260819.2_ITA • Merged PR 74077: enable junit Metasalute</t>
  </si>
  <si>
    <t>Faienza</t>
  </si>
  <si>
    <t>correttivo</t>
  </si>
  <si>
    <t>RMA/ITA</t>
  </si>
  <si>
    <t>Franchigia e massimale codici 7 e 8</t>
  </si>
  <si>
    <t>RIBESPASBA</t>
  </si>
  <si>
    <t>7ribba1_CORRETTIVA-#20260812.1_v6.00.01 / 7ribba3_CORRETTIVA-#20260812.1_v6.00.01</t>
  </si>
  <si>
    <t>I20260318_0488</t>
  </si>
  <si>
    <t>PILLITTERI Roberta</t>
  </si>
  <si>
    <t>Amministrazione</t>
  </si>
  <si>
    <t>66P-CONTAB-SINISTRI</t>
  </si>
  <si>
    <t>Reale/Italiana</t>
  </si>
  <si>
    <t>task SS0C9003_TaskRibaltaCause.sh - Inserimento controllo tripletta</t>
  </si>
  <si>
    <t>I20260320_0346</t>
  </si>
  <si>
    <t>Verifiche contenzioso ITA - Prospetto 4</t>
  </si>
  <si>
    <t>SR20260803_0007</t>
  </si>
  <si>
    <t>Aumento della Xmx Java SS0C2201_TaskStampaProspettoPerConto.sh</t>
  </si>
  <si>
    <t>I20260417_0401</t>
  </si>
  <si>
    <t>Verifica estrazione numeri Provvedimento 79</t>
  </si>
  <si>
    <t>Pacchetto IKAN ALM / Pipeline  </t>
  </si>
  <si>
    <t>Numero Call evolutive evasa/Features </t>
  </si>
  <si>
    <t>AHB.C1</t>
  </si>
  <si>
    <t>API Service Layer</t>
  </si>
  <si>
    <t>Marco Martino</t>
  </si>
  <si>
    <t>AHB.C2</t>
  </si>
  <si>
    <t>AHB.C11</t>
  </si>
  <si>
    <t>C0F.C0</t>
  </si>
  <si>
    <t>pason</t>
  </si>
  <si>
    <t>https://dev.azure.com/realeitesorg/it.grma.rdna/_build/results?buildId=362451&amp;view=results</t>
  </si>
  <si>
    <t>pasba</t>
  </si>
  <si>
    <t>https://dev.azure.com/realeitesorg/it.grma.rdna/_build/results?buildId=362463&amp;view=results</t>
  </si>
  <si>
    <t>C3F.C0</t>
  </si>
  <si>
    <t>Vita Prj Positiv</t>
  </si>
  <si>
    <t>gruppo</t>
  </si>
  <si>
    <t>Pass Insurance</t>
  </si>
  <si>
    <t>vedi allegato</t>
  </si>
  <si>
    <t>Galli Monica</t>
  </si>
  <si>
    <t>Treno Danni</t>
  </si>
  <si>
    <t>Federico Miano</t>
  </si>
  <si>
    <t>ITA + RMA</t>
  </si>
  <si>
    <t>Pass Auto Batch</t>
  </si>
  <si>
    <t>1 </t>
  </si>
  <si>
    <t>ANAGAPIBE </t>
  </si>
  <si>
    <t>  </t>
  </si>
  <si>
    <t>Luca Bugni Batte </t>
  </si>
  <si>
    <t>Anagrafe </t>
  </si>
  <si>
    <t>Marta Robino </t>
  </si>
  <si>
    <t>Correttivo </t>
  </si>
  <si>
    <t>No </t>
  </si>
  <si>
    <t>Rilascio API certificate </t>
  </si>
  <si>
    <t>2 </t>
  </si>
  <si>
    <t>ANAGRAFEBATCH </t>
  </si>
  <si>
    <t>  </t>
  </si>
  <si>
    <t>3 </t>
  </si>
  <si>
    <t>RIBALTADOC</t>
  </si>
  <si>
    <t>IT</t>
  </si>
  <si>
    <t>Documentale</t>
  </si>
  <si>
    <t>Raffaella Rocca</t>
  </si>
  <si>
    <t>RMA / ITA</t>
  </si>
  <si>
    <t>it.grma.web.pni2cloud.middlewarenew</t>
  </si>
  <si>
    <t xml:space="preserve"> C20260806_0083 INTEGRAZIONE - C20260814_0040 SINISTRI WEB - C20260817_0020 RIBES - C20260820_0013 API - C20260820_0046 PASS MULTICANALITÀ - C20260821_0008 SIGEA SINISTRI - C20260821_0020 VITES - C20260821_0028 OMNIAINSURANCE - C20260821_0043 PASS AUTO - C20260821_0045 ANAGRAFE WEB - C20260821_0050 DOCUMENTALE PORTAFOGLIO - C20260821_0053 AIA - C20260821_0054 ISAAC - C20260824_0044 SITI ISTITUZIONALI</t>
  </si>
  <si>
    <t>APPOPCON-CORRETTIVA</t>
  </si>
  <si>
    <t>PipelineId</t>
  </si>
  <si>
    <t>Project</t>
  </si>
  <si>
    <t>siweb_EVOLUTIVA</t>
  </si>
  <si>
    <t>paspo_EVOLUTIVA</t>
  </si>
  <si>
    <t>pason_EVOLUTIVA</t>
  </si>
  <si>
    <t>pasba_EVOLUTIVA</t>
  </si>
  <si>
    <t>documentum-portafoglio_EVOLUTIVA</t>
  </si>
  <si>
    <t>deploy.documentale_8emc02a_EVOLUTIVA</t>
  </si>
  <si>
    <t>deploy.documentale_8emc02a_CORRETTIVA</t>
  </si>
  <si>
    <t>paspo_CORRETTIVA</t>
  </si>
  <si>
    <t>CARD2017_EVOLUTIVA</t>
  </si>
  <si>
    <t>APISinistri</t>
  </si>
  <si>
    <t>EAIJcapsWrapper</t>
  </si>
  <si>
    <t>anagrafeweb.ApiAnagrafeBE_EVOLUTIVA </t>
  </si>
  <si>
    <t>APIAutoRealeItes_EVOLUTIVA</t>
  </si>
  <si>
    <t>APIDanniNonAutoRealeItes_EVOLUTIVA</t>
  </si>
  <si>
    <t>APIDocumentaleRealeItes_EVOLUTIVA</t>
  </si>
  <si>
    <t>APIQuestionarioAdeguatezzaRealeItes_EVOLUTIVA</t>
  </si>
  <si>
    <t>APIComuneRealeItes - CONFIG PRODUZIONE</t>
  </si>
  <si>
    <t>X_PROD_ALL_EVO_20260919 </t>
  </si>
  <si>
    <t>X_PROD_FIRMADIREZIONE_EVO_20260919 </t>
  </si>
  <si>
    <t>X_PROD_CALL3225_EVO_20260919</t>
  </si>
  <si>
    <t>X_PROD_ITA042_EVO_20260919</t>
  </si>
  <si>
    <t>MOBILE_EVOLUTIVA</t>
  </si>
  <si>
    <t>https://dev.azure.com/realeitesorg/it.integration/_build?definitionId=3176</t>
  </si>
  <si>
    <t>https://dev.azure.com/realeitesorg/it.integration/_build?definitionId=4506&amp;_a=summary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</si>
</sst>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56"/>
      <name val="Aptos"/>
      <family val="2"/>
    </font>
    <font>
      <b/>
      <sz val="10"/>
      <color indexed="56"/>
      <name val="Aptos"/>
      <family val="2"/>
    </font>
    <font>
      <b/>
      <sz val="10"/>
      <color indexed="56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404040"/>
      <name val="Roboto"/>
    </font>
    <font>
      <sz val="7"/>
      <color rgb="FF404040"/>
      <name val="Roboto"/>
    </font>
    <font>
      <sz val="9"/>
      <color indexed="56"/>
      <name val="Aptos"/>
      <family val="2"/>
    </font>
    <font>
      <b/>
      <sz val="11"/>
      <color rgb="FFFF0000"/>
      <name val="Calibri"/>
      <family val="2"/>
      <scheme val="minor"/>
    </font>
    <font>
      <sz val="9"/>
      <color rgb="FF000000"/>
      <name val="Roboto"/>
    </font>
    <font>
      <strike/>
      <sz val="7"/>
      <color rgb="FF404040"/>
      <name val="Roboto"/>
    </font>
    <font>
      <sz val="12"/>
      <color theme="1"/>
      <name val="Aptos"/>
      <family val="2"/>
    </font>
    <font>
      <sz val="11"/>
      <color rgb="FF393939"/>
      <name val="Source Sans Pro"/>
      <family val="2"/>
    </font>
    <font>
      <b/>
      <sz val="11"/>
      <color rgb="FF393939"/>
      <name val="Source Sans Pro"/>
      <family val="2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rgb="FF393939"/>
      <name val="Source Sans Pro"/>
      <family val="2"/>
    </font>
    <font>
      <sz val="9"/>
      <color rgb="FF393939"/>
      <name val="Source Sans Pro"/>
      <family val="2"/>
    </font>
    <font>
      <sz val="7"/>
      <color rgb="FF000000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/>
      <right style="medium">
        <color rgb="FFDDDDDD"/>
      </right>
      <top/>
      <bottom style="medium">
        <color rgb="FFDDDDDD"/>
      </bottom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85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6" fillId="0" borderId="0" xfId="0" applyFont="1"/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wrapText="1"/>
    </xf>
    <xf numFmtId="0" fontId="9" fillId="0" borderId="0" xfId="0" applyFont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/>
    </xf>
    <xf numFmtId="0" fontId="11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3" fillId="3" borderId="6" xfId="0" applyFont="1" applyFill="1" applyBorder="1" applyAlignment="1">
      <alignment horizontal="center" vertical="center" wrapText="1"/>
    </xf>
    <xf numFmtId="0" fontId="0" fillId="0" borderId="4" xfId="0" applyBorder="1"/>
    <xf numFmtId="0" fontId="10" fillId="0" borderId="2" xfId="0" applyFont="1" applyBorder="1"/>
    <xf numFmtId="0" fontId="8" fillId="0" borderId="2" xfId="0" applyFont="1" applyBorder="1"/>
    <xf numFmtId="0" fontId="10" fillId="0" borderId="6" xfId="0" applyFont="1" applyBorder="1"/>
    <xf numFmtId="0" fontId="0" fillId="0" borderId="4" xfId="0" applyBorder="1" applyAlignment="1">
      <alignment wrapText="1"/>
    </xf>
    <xf numFmtId="0" fontId="3" fillId="3" borderId="9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4" fillId="0" borderId="2" xfId="0" applyFont="1" applyBorder="1"/>
    <xf numFmtId="0" fontId="0" fillId="0" borderId="2" xfId="0" applyBorder="1" applyAlignment="1">
      <alignment vertical="center" wrapText="1"/>
    </xf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left" vertical="center"/>
    </xf>
    <xf numFmtId="0" fontId="16" fillId="0" borderId="5" xfId="0" applyFont="1" applyBorder="1" applyAlignment="1">
      <alignment vertical="center" wrapText="1"/>
    </xf>
    <xf numFmtId="0" fontId="16" fillId="0" borderId="10" xfId="0" applyFont="1" applyBorder="1" applyAlignment="1">
      <alignment vertical="center" wrapText="1"/>
    </xf>
    <xf numFmtId="0" fontId="16" fillId="0" borderId="11" xfId="0" applyFont="1" applyBorder="1" applyAlignment="1">
      <alignment vertical="center" wrapText="1"/>
    </xf>
    <xf numFmtId="0" fontId="16" fillId="0" borderId="12" xfId="0" applyFont="1" applyBorder="1" applyAlignment="1">
      <alignment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5" xfId="0" applyFont="1" applyBorder="1" applyAlignment="1">
      <alignment vertical="top" wrapText="1"/>
    </xf>
    <xf numFmtId="0" fontId="0" fillId="0" borderId="12" xfId="0" applyBorder="1" applyAlignment="1">
      <alignment vertical="center" wrapText="1"/>
    </xf>
    <xf numFmtId="0" fontId="6" fillId="0" borderId="2" xfId="0" applyFont="1" applyBorder="1" applyAlignment="1">
      <alignment wrapText="1"/>
    </xf>
    <xf numFmtId="0" fontId="17" fillId="0" borderId="0" xfId="0" applyFont="1" applyAlignment="1">
      <alignment horizontal="center" vertical="center" wrapText="1"/>
    </xf>
    <xf numFmtId="14" fontId="16" fillId="0" borderId="5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7" fillId="0" borderId="12" xfId="0" applyFont="1" applyBorder="1" applyAlignment="1">
      <alignment horizontal="center" vertical="center" wrapText="1"/>
    </xf>
    <xf numFmtId="0" fontId="0" fillId="0" borderId="11" xfId="0" applyBorder="1" applyAlignment="1">
      <alignment vertical="top" wrapText="1"/>
    </xf>
    <xf numFmtId="0" fontId="0" fillId="0" borderId="10" xfId="0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left" vertical="center" wrapText="1"/>
    </xf>
    <xf numFmtId="0" fontId="18" fillId="0" borderId="5" xfId="1" applyBorder="1" applyAlignment="1">
      <alignment vertical="center" wrapText="1"/>
    </xf>
    <xf numFmtId="0" fontId="17" fillId="0" borderId="5" xfId="0" applyFont="1" applyBorder="1" applyAlignment="1">
      <alignment vertical="center" wrapText="1"/>
    </xf>
    <xf numFmtId="0" fontId="0" fillId="0" borderId="2" xfId="0" applyBorder="1" applyAlignment="1">
      <alignment horizontal="left" vertical="center"/>
    </xf>
    <xf numFmtId="14" fontId="16" fillId="0" borderId="5" xfId="0" applyNumberFormat="1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18" fillId="0" borderId="10" xfId="1" applyBorder="1" applyAlignment="1">
      <alignment vertical="center" wrapText="1"/>
    </xf>
    <xf numFmtId="0" fontId="18" fillId="0" borderId="11" xfId="1" applyBorder="1" applyAlignment="1">
      <alignment vertical="center" wrapText="1"/>
    </xf>
    <xf numFmtId="0" fontId="16" fillId="0" borderId="11" xfId="0" applyFont="1" applyBorder="1" applyAlignment="1">
      <alignment horizontal="left" vertical="center" wrapText="1"/>
    </xf>
    <xf numFmtId="0" fontId="16" fillId="0" borderId="13" xfId="0" applyFont="1" applyBorder="1" applyAlignment="1">
      <alignment horizontal="left" vertical="center" wrapText="1"/>
    </xf>
    <xf numFmtId="0" fontId="0" fillId="6" borderId="2" xfId="0" applyFill="1" applyBorder="1" applyAlignment="1">
      <alignment vertical="center"/>
    </xf>
    <xf numFmtId="0" fontId="15" fillId="5" borderId="0" xfId="0" applyFont="1" applyFill="1"/>
    <xf numFmtId="0" fontId="0" fillId="5" borderId="2" xfId="0" applyFill="1" applyBorder="1" applyAlignment="1">
      <alignment vertical="center"/>
    </xf>
    <xf numFmtId="0" fontId="19" fillId="0" borderId="2" xfId="0" applyFont="1" applyBorder="1" applyAlignment="1">
      <alignment vertical="center"/>
    </xf>
    <xf numFmtId="0" fontId="20" fillId="0" borderId="0" xfId="0" applyFont="1" applyAlignment="1">
      <alignment horizontal="left" vertical="center"/>
    </xf>
    <xf numFmtId="0" fontId="21" fillId="0" borderId="0" xfId="0" applyFont="1"/>
    <xf numFmtId="0" fontId="22" fillId="0" borderId="0" xfId="0" applyFont="1"/>
    <xf numFmtId="0" fontId="20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6" fillId="0" borderId="10" xfId="0" applyFont="1" applyBorder="1" applyAlignment="1">
      <alignment vertical="top" wrapText="1"/>
    </xf>
    <xf numFmtId="0" fontId="16" fillId="0" borderId="11" xfId="0" applyFont="1" applyBorder="1" applyAlignment="1">
      <alignment vertical="top" wrapText="1"/>
    </xf>
    <xf numFmtId="0" fontId="16" fillId="0" borderId="10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10" xfId="0" applyFont="1" applyBorder="1" applyAlignment="1">
      <alignment vertical="center" wrapText="1"/>
    </xf>
    <xf numFmtId="0" fontId="16" fillId="0" borderId="11" xfId="0" applyFont="1" applyBorder="1" applyAlignment="1">
      <alignment vertical="center" wrapText="1"/>
    </xf>
    <xf numFmtId="0" fontId="17" fillId="0" borderId="10" xfId="0" applyFont="1" applyBorder="1" applyAlignment="1">
      <alignment vertical="top" wrapText="1"/>
    </xf>
    <xf numFmtId="0" fontId="17" fillId="0" borderId="12" xfId="0" applyFont="1" applyBorder="1" applyAlignment="1">
      <alignment vertical="top" wrapText="1"/>
    </xf>
    <xf numFmtId="0" fontId="17" fillId="0" borderId="11" xfId="0" applyFont="1" applyBorder="1" applyAlignment="1">
      <alignment vertical="top" wrapText="1"/>
    </xf>
    <xf numFmtId="0" fontId="16" fillId="0" borderId="12" xfId="0" applyFont="1" applyBorder="1" applyAlignment="1">
      <alignment vertical="center" wrapText="1"/>
    </xf>
    <xf numFmtId="14" fontId="16" fillId="0" borderId="10" xfId="0" applyNumberFormat="1" applyFont="1" applyBorder="1" applyAlignment="1">
      <alignment vertical="center" wrapText="1"/>
    </xf>
    <xf numFmtId="14" fontId="16" fillId="0" borderId="12" xfId="0" applyNumberFormat="1" applyFont="1" applyBorder="1" applyAlignment="1">
      <alignment vertical="center" wrapText="1"/>
    </xf>
    <xf numFmtId="14" fontId="16" fillId="0" borderId="11" xfId="0" applyNumberFormat="1" applyFont="1" applyBorder="1" applyAlignment="1">
      <alignment vertical="center" wrapText="1"/>
    </xf>
  </cellXfs>
  <cellStyles count="2">
    <cellStyle name="Collegamento ipertestuale" xfId="1" builtinId="8"/>
    <cellStyle name="Normale" xfId="0" builtinId="0"/>
  </cellStyles>
  <dxfs count="99">
    <dxf>
      <font>
        <color theme="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6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ont>
        <u/>
        <color rgb="FF00B0F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u/>
        <color rgb="FF00B0F0"/>
      </font>
    </dxf>
    <dxf>
      <font>
        <u/>
        <color rgb="FF00B0F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u/>
        <color rgb="FF00B0F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porealemutua.sharepoint.com/sites/Change475/Shared%20Documents/Change%20Applicativi/PIANIFICAZIONE%20RILASCI%20+%20Lettere%20di%20rilascio/RILASCI%202026/BaseDati_Pacchetti.xlsx" TargetMode="External"/><Relationship Id="rId1" Type="http://schemas.openxmlformats.org/officeDocument/2006/relationships/externalLinkPath" Target="https://grupporealemutua.sharepoint.com/sites/Change475/Shared%20Documents/Change%20Applicativi/PIANIFICAZIONE%20RILASCI%20+%20Lettere%20di%20rilascio/RILASCI%202026/BaseDati_Pacchetti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porealemutua.sharepoint.com/sites/Change475/Shared%20Documents/Change%20Applicativi/PIANIFICAZIONE%20RILASCI%20+%20Lettere%20di%20rilascio/RILASCI%202026/BaseDati_SR.xlsx" TargetMode="External"/><Relationship Id="rId1" Type="http://schemas.openxmlformats.org/officeDocument/2006/relationships/externalLinkPath" Target="https://grupporealemutua.sharepoint.com/sites/Change475/Shared%20Documents/Change%20Applicativi/PIANIFICAZIONE%20RILASCI%20+%20Lettere%20di%20rilascio/RILASCI%202026/BaseDati_S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INZwOY2zIkGq6aQKXGK77fyu1D_1EbVJoxJrh79JMXadJKtIMpxATZx51oRrJO6A" itemId="01VKLZTMBEGOSBCNIP4ZGJNJ3ZOL5HOWGI">
      <xxl21:absoluteUrl r:id="rId2"/>
    </xxl21:alternateUrls>
    <sheetNames>
      <sheetName val="Dettaglio pacchetti"/>
    </sheetNames>
    <sheetDataSet>
      <sheetData sheetId="0">
        <row r="1">
          <cell r="A1" t="str">
            <v>PackageIKANALM-PipeleineAZUREDEVOPS</v>
          </cell>
          <cell r="B1" t="str">
            <v>Change EV</v>
          </cell>
          <cell r="C1" t="str">
            <v>Responsabile/Team</v>
          </cell>
          <cell r="D1" t="str">
            <v>DescriptionRDMA</v>
          </cell>
          <cell r="E1" t="str">
            <v>Application</v>
          </cell>
          <cell r="F1" t="str">
            <v>DeployMode</v>
          </cell>
          <cell r="G1" t="str">
            <v>Project IKAN ALM/Project AZURE DEVOPS</v>
          </cell>
          <cell r="H1" t="str">
            <v>SchedulingtimeProduction</v>
          </cell>
          <cell r="I1" t="str">
            <v>Type</v>
          </cell>
          <cell r="M1" t="str">
            <v>LINK PIPELINE</v>
          </cell>
          <cell r="AB1" t="str">
            <v>Prefissi</v>
          </cell>
        </row>
        <row r="2">
          <cell r="A2" t="str">
            <v>01PS14_C+A2:M39RM_BATCH_ImportManager</v>
          </cell>
          <cell r="B2" t="str">
            <v>CRM</v>
          </cell>
          <cell r="C2" t="str">
            <v>Bugni Batte</v>
          </cell>
          <cell r="D2" t="str">
            <v>Rilascio CRM 01ps14_CRM_BATCH_ImportManager</v>
          </cell>
          <cell r="E2" t="str">
            <v>CRM</v>
          </cell>
          <cell r="F2" t="str">
            <v>Ikan Alm</v>
          </cell>
          <cell r="G2" t="str">
            <v>01PS14_CRM_BATCH_ImportManager</v>
          </cell>
          <cell r="H2" t="str">
            <v>23.00</v>
          </cell>
          <cell r="I2" t="str">
            <v>windows</v>
          </cell>
          <cell r="J2"/>
          <cell r="K2"/>
          <cell r="L2"/>
          <cell r="M2"/>
          <cell r="AB2" t="str">
            <v>01PS14_CRM_BATCH_ImportManager</v>
          </cell>
        </row>
        <row r="3">
          <cell r="A3" t="str">
            <v>6ANAG01</v>
          </cell>
          <cell r="B3" t="str">
            <v>ANAGRAFE WEB</v>
          </cell>
          <cell r="C3" t="str">
            <v>Bugni Batte</v>
          </cell>
          <cell r="D3" t="str">
            <v>Rilascio AnagrafeWeb 6ANAG01</v>
          </cell>
          <cell r="E3" t="str">
            <v>AnagrafeWeb</v>
          </cell>
          <cell r="F3" t="str">
            <v>Ikan Alm</v>
          </cell>
          <cell r="G3" t="str">
            <v>SIGEALNX</v>
          </cell>
          <cell r="H3" t="str">
            <v>23.00</v>
          </cell>
          <cell r="I3" t="str">
            <v>ear</v>
          </cell>
          <cell r="J3"/>
          <cell r="K3"/>
          <cell r="L3"/>
          <cell r="M3"/>
          <cell r="AB3" t="str">
            <v>6ANAG01</v>
          </cell>
        </row>
        <row r="4">
          <cell r="A4" t="str">
            <v>6ANAG03</v>
          </cell>
          <cell r="B4" t="str">
            <v>ANAGRAFE WEB</v>
          </cell>
          <cell r="C4" t="str">
            <v>Bugni Batte</v>
          </cell>
          <cell r="D4" t="str">
            <v>Rilascio AnagrafeWeb 6ANAG03</v>
          </cell>
          <cell r="E4" t="str">
            <v>AnagrafeWeb</v>
          </cell>
          <cell r="F4" t="str">
            <v>Ikan Alm</v>
          </cell>
          <cell r="G4" t="str">
            <v>SIGEALNX</v>
          </cell>
          <cell r="H4" t="str">
            <v>23.00</v>
          </cell>
          <cell r="I4" t="str">
            <v>ear</v>
          </cell>
          <cell r="J4"/>
          <cell r="K4"/>
          <cell r="L4"/>
          <cell r="M4"/>
          <cell r="AB4" t="str">
            <v>6ANAG03</v>
          </cell>
        </row>
        <row r="5">
          <cell r="A5" t="str">
            <v>6ANAGRAFE_WS-COR</v>
          </cell>
          <cell r="B5" t="str">
            <v>ANAGRAFE WEB</v>
          </cell>
          <cell r="C5" t="str">
            <v>Bugni Batte</v>
          </cell>
          <cell r="D5" t="str">
            <v>Rilascio 6ANAGRAFE_WS</v>
          </cell>
          <cell r="E5" t="str">
            <v>AnagrafeWeb - WS</v>
          </cell>
          <cell r="F5" t="str">
            <v>Ikan Alm</v>
          </cell>
          <cell r="G5" t="str">
            <v>SIGEALNX</v>
          </cell>
          <cell r="H5" t="str">
            <v>23.00</v>
          </cell>
          <cell r="I5" t="str">
            <v>ear</v>
          </cell>
          <cell r="J5"/>
          <cell r="K5"/>
          <cell r="L5"/>
          <cell r="M5"/>
          <cell r="AB5" t="str">
            <v>6ANAGRAFE_WS-COR</v>
          </cell>
        </row>
        <row r="6">
          <cell r="A6" t="str">
            <v>7ADBLCA65-COR</v>
          </cell>
          <cell r="B6" t="str">
            <v>ADOBE STAMPE SINGOLE</v>
          </cell>
          <cell r="C6" t="str">
            <v>Rocca</v>
          </cell>
          <cell r="D6" t="str">
            <v>Rilascio AdobeStampeSingole 7ADBLCA</v>
          </cell>
          <cell r="E6" t="str">
            <v>Adobe Stampe Singole</v>
          </cell>
          <cell r="F6" t="str">
            <v>Ikan Alm</v>
          </cell>
          <cell r="G6" t="str">
            <v>STAMPE</v>
          </cell>
          <cell r="H6" t="str">
            <v>23.00</v>
          </cell>
          <cell r="I6" t="str">
            <v>ear</v>
          </cell>
          <cell r="J6"/>
          <cell r="K6"/>
          <cell r="L6"/>
          <cell r="M6"/>
          <cell r="AB6" t="str">
            <v>7ADBLCA65-COR</v>
          </cell>
        </row>
        <row r="7">
          <cell r="A7" t="str">
            <v>7ADBLCA65-EVO</v>
          </cell>
          <cell r="B7" t="str">
            <v>ADOBE STAMPE SINGOLE</v>
          </cell>
          <cell r="C7" t="str">
            <v>Rocca</v>
          </cell>
          <cell r="D7" t="str">
            <v>Rilascio AdobeStampeSingole 7ADBLCA</v>
          </cell>
          <cell r="E7" t="str">
            <v>Adobe Stampe Singole</v>
          </cell>
          <cell r="F7" t="str">
            <v>Ikan Alm</v>
          </cell>
          <cell r="G7" t="str">
            <v>STAMPE</v>
          </cell>
          <cell r="H7" t="str">
            <v>23.00</v>
          </cell>
          <cell r="I7" t="str">
            <v>ear</v>
          </cell>
          <cell r="J7"/>
          <cell r="K7"/>
          <cell r="L7"/>
          <cell r="M7"/>
          <cell r="AB7" t="str">
            <v>7ADBLCA65-EVO</v>
          </cell>
        </row>
        <row r="8">
          <cell r="A8" t="str">
            <v>7EMC02A</v>
          </cell>
          <cell r="B8" t="str">
            <v>DOCUMENTALE SINISTRI</v>
          </cell>
          <cell r="C8" t="str">
            <v>Rocca</v>
          </cell>
          <cell r="D8" t="str">
            <v>Rilascio Portale DocumentaleSinistri 7EMC02A</v>
          </cell>
          <cell r="E8" t="str">
            <v>Portale Documentale Sinistri</v>
          </cell>
          <cell r="F8" t="str">
            <v>Ikan Alm</v>
          </cell>
          <cell r="G8" t="str">
            <v>DOCUMENTALE</v>
          </cell>
          <cell r="H8" t="str">
            <v>23.00</v>
          </cell>
          <cell r="I8" t="str">
            <v>ear</v>
          </cell>
          <cell r="J8"/>
          <cell r="K8"/>
          <cell r="L8"/>
          <cell r="M8"/>
          <cell r="AB8" t="str">
            <v>7EMC02A</v>
          </cell>
        </row>
        <row r="9">
          <cell r="A9" t="str">
            <v>7GECOBE</v>
          </cell>
          <cell r="B9" t="str">
            <v>GESTIONE COLLABORATORI -</v>
          </cell>
          <cell r="C9" t="str">
            <v>Bugni Batte</v>
          </cell>
          <cell r="D9" t="str">
            <v>Rilascio 7GECOBE</v>
          </cell>
          <cell r="E9" t="str">
            <v>Gestione Collaboratori</v>
          </cell>
          <cell r="F9" t="str">
            <v>Ikan Alm</v>
          </cell>
          <cell r="G9" t="str">
            <v>VARI</v>
          </cell>
          <cell r="H9" t="str">
            <v>23.00</v>
          </cell>
          <cell r="I9" t="str">
            <v>ear</v>
          </cell>
          <cell r="J9"/>
          <cell r="K9"/>
          <cell r="L9"/>
          <cell r="M9"/>
          <cell r="AB9" t="str">
            <v>7GECOBE</v>
          </cell>
        </row>
        <row r="10">
          <cell r="A10" t="str">
            <v>7GECOFE</v>
          </cell>
          <cell r="B10" t="str">
            <v>GESTIONE COLLABORATORI -</v>
          </cell>
          <cell r="C10" t="str">
            <v>Bugni Batte</v>
          </cell>
          <cell r="D10" t="str">
            <v>Rilascio 7GECOFE</v>
          </cell>
          <cell r="E10" t="str">
            <v>Gestione Collaboratori</v>
          </cell>
          <cell r="F10" t="str">
            <v>Ikan Alm</v>
          </cell>
          <cell r="G10" t="str">
            <v>VARI</v>
          </cell>
          <cell r="H10" t="str">
            <v>23.00</v>
          </cell>
          <cell r="I10" t="str">
            <v>ear</v>
          </cell>
          <cell r="J10"/>
          <cell r="K10"/>
          <cell r="L10"/>
          <cell r="M10"/>
          <cell r="AB10" t="str">
            <v>7GECOFE</v>
          </cell>
        </row>
        <row r="11">
          <cell r="A11" t="str">
            <v>7OREWEB</v>
          </cell>
          <cell r="B11"/>
          <cell r="C11" t="str">
            <v>Rogna</v>
          </cell>
          <cell r="D11" t="str">
            <v>Rilascio Oreste Web</v>
          </cell>
          <cell r="E11" t="str">
            <v>Oreste Web</v>
          </cell>
          <cell r="F11" t="str">
            <v>Ikan Alm</v>
          </cell>
          <cell r="G11" t="str">
            <v>OREWEBB_correttiva-R01</v>
          </cell>
          <cell r="H11" t="str">
            <v>23.00</v>
          </cell>
          <cell r="I11" t="str">
            <v>ear</v>
          </cell>
          <cell r="J11"/>
          <cell r="K11"/>
          <cell r="L11"/>
          <cell r="M11" t="str">
            <v xml:space="preserve"> </v>
          </cell>
          <cell r="AB11" t="str">
            <v>7OREWEB</v>
          </cell>
        </row>
        <row r="12">
          <cell r="A12" t="str">
            <v>7PDOCAP-COR</v>
          </cell>
          <cell r="B12" t="str">
            <v>DOCUMENTALE PORTAFOGLIO</v>
          </cell>
          <cell r="C12" t="str">
            <v>Rocca</v>
          </cell>
          <cell r="D12" t="str">
            <v>Rilascio Portale Documentale Portafoglio 7PDOCWS</v>
          </cell>
          <cell r="E12" t="str">
            <v>Portale Documentale Portafoglio</v>
          </cell>
          <cell r="F12" t="str">
            <v>Ikan Alm</v>
          </cell>
          <cell r="G12" t="str">
            <v>DOCUMENTALE</v>
          </cell>
          <cell r="H12" t="str">
            <v>23.00</v>
          </cell>
          <cell r="I12" t="str">
            <v>ear</v>
          </cell>
          <cell r="J12"/>
          <cell r="K12"/>
          <cell r="L12"/>
          <cell r="M12"/>
          <cell r="AB12" t="str">
            <v>7PDOCAP-COR</v>
          </cell>
        </row>
        <row r="13">
          <cell r="A13" t="str">
            <v>7PDOCAP-EVO</v>
          </cell>
          <cell r="B13" t="str">
            <v>DOCUMENTALE PORTAFOGLIO</v>
          </cell>
          <cell r="C13" t="str">
            <v>Rocca</v>
          </cell>
          <cell r="D13" t="str">
            <v>Rilascio Portale Documentale Portafoglio 7PDOCAP</v>
          </cell>
          <cell r="E13" t="str">
            <v>Portale Documentale Portafoglio</v>
          </cell>
          <cell r="F13" t="str">
            <v>Ikan Alm</v>
          </cell>
          <cell r="G13" t="str">
            <v>DOCUMENTALE</v>
          </cell>
          <cell r="H13" t="str">
            <v>23.00</v>
          </cell>
          <cell r="I13" t="str">
            <v>ear</v>
          </cell>
          <cell r="J13"/>
          <cell r="K13"/>
          <cell r="L13"/>
          <cell r="M13"/>
          <cell r="AB13" t="str">
            <v>7PDOCAP-EVO</v>
          </cell>
        </row>
        <row r="14">
          <cell r="A14" t="str">
            <v>7PDOCWS-COR</v>
          </cell>
          <cell r="B14" t="str">
            <v>DOCUMENTALE PORTAFOGLIO</v>
          </cell>
          <cell r="C14" t="str">
            <v>Rocca</v>
          </cell>
          <cell r="D14" t="str">
            <v>Rilascio Portale Documentale Portafoglio 7PDOCWS</v>
          </cell>
          <cell r="E14" t="str">
            <v>Portale Documentale Portafoglio</v>
          </cell>
          <cell r="F14" t="str">
            <v>Ikan Alm</v>
          </cell>
          <cell r="G14" t="str">
            <v>DOCUMENTALE</v>
          </cell>
          <cell r="H14" t="str">
            <v>23.00</v>
          </cell>
          <cell r="I14" t="str">
            <v>ear</v>
          </cell>
          <cell r="J14"/>
          <cell r="K14"/>
          <cell r="L14"/>
          <cell r="M14"/>
          <cell r="AB14" t="str">
            <v>7PDOCWS-COR</v>
          </cell>
        </row>
        <row r="15">
          <cell r="A15" t="str">
            <v>7PDOCWS-EVO</v>
          </cell>
          <cell r="B15" t="str">
            <v>DOCUMENTALE PORTAFOGLIO</v>
          </cell>
          <cell r="C15" t="str">
            <v>Rocca</v>
          </cell>
          <cell r="D15" t="str">
            <v>Rilascio Portale Documentale Portafoglio 7PDOCWS</v>
          </cell>
          <cell r="E15" t="str">
            <v>Portale Documentale Portafoglio</v>
          </cell>
          <cell r="F15" t="str">
            <v>Ikan Alm</v>
          </cell>
          <cell r="G15" t="str">
            <v>DOCUMENTALE</v>
          </cell>
          <cell r="H15" t="str">
            <v>23.00</v>
          </cell>
          <cell r="I15" t="str">
            <v>ear</v>
          </cell>
          <cell r="J15"/>
          <cell r="K15"/>
          <cell r="L15"/>
          <cell r="M15"/>
          <cell r="AB15" t="str">
            <v>7PDOCWS-EVO</v>
          </cell>
        </row>
        <row r="16">
          <cell r="A16" t="str">
            <v>7PDOSWS-EVO</v>
          </cell>
          <cell r="B16" t="str">
            <v>DOCUMENTALE SINISTRI</v>
          </cell>
          <cell r="C16" t="str">
            <v>Rocca</v>
          </cell>
          <cell r="D16" t="str">
            <v>Rilascio Portale DocumentaleSinistri 7PDOSWS</v>
          </cell>
          <cell r="E16" t="str">
            <v>Portale Documentale Sinistri</v>
          </cell>
          <cell r="F16" t="str">
            <v>Ikan Alm</v>
          </cell>
          <cell r="G16" t="str">
            <v>DOCUMENTALE</v>
          </cell>
          <cell r="H16" t="str">
            <v>23.00</v>
          </cell>
          <cell r="I16" t="str">
            <v>ear</v>
          </cell>
          <cell r="J16"/>
          <cell r="K16"/>
          <cell r="L16"/>
          <cell r="M16"/>
          <cell r="AB16" t="str">
            <v>7PDOSWS-EVO</v>
          </cell>
        </row>
        <row r="17">
          <cell r="A17" t="str">
            <v>7PORAZI</v>
          </cell>
          <cell r="B17" t="str">
            <v>VIS</v>
          </cell>
          <cell r="C17" t="str">
            <v>Colombo</v>
          </cell>
          <cell r="D17" t="str">
            <v>Rilascio 7PORAZI</v>
          </cell>
          <cell r="E17" t="str">
            <v>Portale Aziende Teseo</v>
          </cell>
          <cell r="F17" t="str">
            <v>Ikan Alm</v>
          </cell>
          <cell r="G17" t="str">
            <v>VITALNX</v>
          </cell>
          <cell r="H17" t="str">
            <v>23.00</v>
          </cell>
          <cell r="I17" t="str">
            <v>ear</v>
          </cell>
          <cell r="J17"/>
          <cell r="K17"/>
          <cell r="L17"/>
          <cell r="M17"/>
          <cell r="AB17" t="str">
            <v>7PORAZI</v>
          </cell>
        </row>
        <row r="18">
          <cell r="A18" t="str">
            <v>7PORDOCF2-COR</v>
          </cell>
          <cell r="B18" t="str">
            <v>DOCUMENTALE PORTAFOGLIO</v>
          </cell>
          <cell r="C18" t="str">
            <v>Rocca</v>
          </cell>
          <cell r="D18" t="str">
            <v>Rilascio Portale Documentale Portafoglio 7PORDOCFA2</v>
          </cell>
          <cell r="E18" t="str">
            <v>Portale Documentale Portafoglio</v>
          </cell>
          <cell r="F18" t="str">
            <v>Ikan Alm</v>
          </cell>
          <cell r="G18" t="str">
            <v>DOCUMENTALE</v>
          </cell>
          <cell r="H18" t="str">
            <v>23.00</v>
          </cell>
          <cell r="I18" t="str">
            <v>ear</v>
          </cell>
          <cell r="J18"/>
          <cell r="K18"/>
          <cell r="L18"/>
          <cell r="M18"/>
          <cell r="AB18" t="str">
            <v>7PORDOCF2-COR</v>
          </cell>
        </row>
        <row r="19">
          <cell r="A19" t="str">
            <v>7PORDOCF2-EVO</v>
          </cell>
          <cell r="B19" t="str">
            <v>DOCUMENTALE PORTAFOGLIO</v>
          </cell>
          <cell r="C19" t="str">
            <v>Rocca</v>
          </cell>
          <cell r="D19" t="str">
            <v>Rilascio Portale Documentale Portafoglio 7PORDOCFA2</v>
          </cell>
          <cell r="E19" t="str">
            <v>Portale Documentale Portafoglio</v>
          </cell>
          <cell r="F19" t="str">
            <v>Ikan Alm</v>
          </cell>
          <cell r="G19" t="str">
            <v>DOCUMENTALE</v>
          </cell>
          <cell r="H19" t="str">
            <v>23.00</v>
          </cell>
          <cell r="I19" t="str">
            <v>ear</v>
          </cell>
          <cell r="J19"/>
          <cell r="K19"/>
          <cell r="L19"/>
          <cell r="M19"/>
          <cell r="AB19" t="str">
            <v>7PORDOCF2-EVO</v>
          </cell>
        </row>
        <row r="20">
          <cell r="A20" t="str">
            <v>7PREDIP</v>
          </cell>
          <cell r="B20" t="str">
            <v>PRESTITI DIPENDENTI</v>
          </cell>
          <cell r="C20" t="str">
            <v>Rogna</v>
          </cell>
          <cell r="D20" t="str">
            <v>Rilascio Prestiti Dipendenti</v>
          </cell>
          <cell r="E20" t="str">
            <v>Prestiti Dipendenti</v>
          </cell>
          <cell r="F20" t="str">
            <v>Ikan Alm</v>
          </cell>
          <cell r="G20" t="str">
            <v>VARI</v>
          </cell>
          <cell r="H20" t="str">
            <v>23.00</v>
          </cell>
          <cell r="I20" t="str">
            <v>ear</v>
          </cell>
          <cell r="J20"/>
          <cell r="K20"/>
          <cell r="L20"/>
          <cell r="M20"/>
          <cell r="AB20" t="str">
            <v>7PREDIP</v>
          </cell>
        </row>
        <row r="21">
          <cell r="A21" t="str">
            <v>7PREVIVAS1</v>
          </cell>
          <cell r="B21" t="str">
            <v>PASS AUTO</v>
          </cell>
          <cell r="C21" t="str">
            <v>Treno Danni</v>
          </cell>
          <cell r="D21" t="str">
            <v>Rilascio Preventivatore IVASS 7PREVIVAS1</v>
          </cell>
          <cell r="E21" t="str">
            <v>Prevenivatore Ivass</v>
          </cell>
          <cell r="F21" t="str">
            <v>Ikan Alm</v>
          </cell>
          <cell r="G21" t="str">
            <v>MULTICANALITA</v>
          </cell>
          <cell r="H21" t="str">
            <v>23.00</v>
          </cell>
          <cell r="I21" t="str">
            <v>ear</v>
          </cell>
          <cell r="J21"/>
          <cell r="K21"/>
          <cell r="L21"/>
          <cell r="M21"/>
          <cell r="AB21" t="str">
            <v>7PREVIVAS1</v>
          </cell>
        </row>
        <row r="22">
          <cell r="A22" t="str">
            <v>7PREVIVAS3</v>
          </cell>
          <cell r="B22" t="str">
            <v>PASS AUTO</v>
          </cell>
          <cell r="C22" t="str">
            <v>Treno Danni</v>
          </cell>
          <cell r="D22" t="str">
            <v>Rilascio Preventivatore IVASS 7PREVIVAS3</v>
          </cell>
          <cell r="E22" t="str">
            <v>Prevenivatore Ivass</v>
          </cell>
          <cell r="F22" t="str">
            <v>Ikan Alm</v>
          </cell>
          <cell r="G22" t="str">
            <v>MULTICANALITA</v>
          </cell>
          <cell r="H22" t="str">
            <v>23.00</v>
          </cell>
          <cell r="I22" t="str">
            <v>ear</v>
          </cell>
          <cell r="J22"/>
          <cell r="K22"/>
          <cell r="L22"/>
          <cell r="M22"/>
          <cell r="AB22" t="str">
            <v>7PREVIVAS3</v>
          </cell>
        </row>
        <row r="23">
          <cell r="A23" t="str">
            <v>7PRVINT</v>
          </cell>
          <cell r="B23" t="str">
            <v>SIGEA AUTO</v>
          </cell>
          <cell r="C23" t="str">
            <v>Treno Danni</v>
          </cell>
          <cell r="D23" t="str">
            <v>Preventivo Auto online 7PRVINT</v>
          </cell>
          <cell r="E23" t="str">
            <v>Preventivatore Auto Internet</v>
          </cell>
          <cell r="F23" t="str">
            <v>Ikan Alm</v>
          </cell>
          <cell r="G23" t="str">
            <v>SIGEALNX</v>
          </cell>
          <cell r="H23" t="str">
            <v>23.00</v>
          </cell>
          <cell r="I23" t="str">
            <v>ear</v>
          </cell>
          <cell r="J23"/>
          <cell r="K23"/>
          <cell r="L23"/>
          <cell r="M23"/>
          <cell r="AB23" t="str">
            <v>7PRVINT</v>
          </cell>
        </row>
        <row r="24">
          <cell r="A24" t="str">
            <v>7ribba1_CORRETTIVA</v>
          </cell>
          <cell r="B24" t="str">
            <v>RIBES</v>
          </cell>
          <cell r="C24" t="str">
            <v>Vitiello</v>
          </cell>
          <cell r="D24" t="str">
            <v>Rilascio RIBES 7RIBBA1</v>
          </cell>
          <cell r="E24" t="str">
            <v>Ribes - Batch</v>
          </cell>
          <cell r="F24" t="str">
            <v>Azure Devops</v>
          </cell>
          <cell r="G24" t="str">
            <v>it.ites.deploy.contabilita</v>
          </cell>
          <cell r="H24" t="str">
            <v>22.50</v>
          </cell>
          <cell r="I24" t="str">
            <v>ear</v>
          </cell>
          <cell r="J24"/>
          <cell r="K24"/>
          <cell r="L24"/>
          <cell r="M24" t="str">
            <v>https://dev.azure.com/realeitesorg/it.ites.deploy.contabilita/_build?definitionId=5167</v>
          </cell>
          <cell r="AB24" t="str">
            <v>7ribba1_CORRETTIVA</v>
          </cell>
        </row>
        <row r="25">
          <cell r="A25" t="str">
            <v>7ribba1_EVOLUTIVA</v>
          </cell>
          <cell r="B25" t="str">
            <v>RIBES</v>
          </cell>
          <cell r="C25" t="str">
            <v>Vitiello</v>
          </cell>
          <cell r="D25" t="str">
            <v>Rilascio RIBES 7RIBBA1</v>
          </cell>
          <cell r="E25" t="str">
            <v>Ribes - Batch</v>
          </cell>
          <cell r="F25" t="str">
            <v>Azure Devops</v>
          </cell>
          <cell r="G25" t="str">
            <v>it.ites.deploy.contabilita</v>
          </cell>
          <cell r="H25" t="str">
            <v>22.50</v>
          </cell>
          <cell r="I25" t="str">
            <v>ear</v>
          </cell>
          <cell r="J25"/>
          <cell r="K25"/>
          <cell r="L25"/>
          <cell r="M25" t="str">
            <v>https://dev.azure.com/realeitesorg/it.ites.deploy.contabilita/_build?definitionId=5168</v>
          </cell>
          <cell r="AB25" t="str">
            <v>7ribba1_EVOLUTIVA</v>
          </cell>
        </row>
        <row r="26">
          <cell r="A26" t="str">
            <v>7ribba3_CORRETTIVA</v>
          </cell>
          <cell r="B26" t="str">
            <v>RIBES</v>
          </cell>
          <cell r="C26" t="str">
            <v>Vitiello</v>
          </cell>
          <cell r="D26" t="str">
            <v>Rilascio RIBES 7RIBBA3</v>
          </cell>
          <cell r="E26" t="str">
            <v>Ribes - Batch</v>
          </cell>
          <cell r="F26" t="str">
            <v>Azure Devops</v>
          </cell>
          <cell r="G26" t="str">
            <v>it.ites.deploy.contabilita</v>
          </cell>
          <cell r="H26" t="str">
            <v>22.50</v>
          </cell>
          <cell r="I26" t="str">
            <v>ear</v>
          </cell>
          <cell r="J26"/>
          <cell r="K26"/>
          <cell r="L26"/>
          <cell r="M26" t="str">
            <v>https://dev.azure.com/realeitesorg/it.ites.deploy.contabilita/_build?definitionId=5173</v>
          </cell>
          <cell r="AB26" t="str">
            <v>7ribba3_CORRETTIVA</v>
          </cell>
        </row>
        <row r="27">
          <cell r="A27" t="str">
            <v>7ribba3_EVOLUTIVA</v>
          </cell>
          <cell r="B27" t="str">
            <v>RIBES</v>
          </cell>
          <cell r="C27" t="str">
            <v>Vitiello</v>
          </cell>
          <cell r="D27" t="str">
            <v>Rilascio RIBES 7RIBBA3</v>
          </cell>
          <cell r="E27" t="str">
            <v>Ribes - Batch</v>
          </cell>
          <cell r="F27" t="str">
            <v>Azure Devops</v>
          </cell>
          <cell r="G27" t="str">
            <v>it.ites.deploy.contabilita</v>
          </cell>
          <cell r="H27" t="str">
            <v>22.50</v>
          </cell>
          <cell r="I27" t="str">
            <v>ear</v>
          </cell>
          <cell r="J27"/>
          <cell r="K27"/>
          <cell r="L27"/>
          <cell r="M27" t="str">
            <v>https://dev.azure.com/realeitesorg/it.ites.deploy.contabilita/_build?definitionId=5174</v>
          </cell>
          <cell r="AB27" t="str">
            <v>7ribba3_EVOLUTIVA</v>
          </cell>
        </row>
        <row r="28">
          <cell r="A28" t="str">
            <v>7ribon1_CORRETTIVA</v>
          </cell>
          <cell r="B28" t="str">
            <v>RIBES</v>
          </cell>
          <cell r="C28" t="str">
            <v>Vitiello</v>
          </cell>
          <cell r="D28" t="str">
            <v>Rilascio RIBES 7RIBON1</v>
          </cell>
          <cell r="E28" t="str">
            <v>Ribes</v>
          </cell>
          <cell r="F28" t="str">
            <v>Azure Devops</v>
          </cell>
          <cell r="G28" t="str">
            <v>it.ites.deploy.contabilita</v>
          </cell>
          <cell r="H28" t="str">
            <v>23.00</v>
          </cell>
          <cell r="I28" t="str">
            <v>ear</v>
          </cell>
          <cell r="J28"/>
          <cell r="K28"/>
          <cell r="L28"/>
          <cell r="M28" t="str">
            <v>https://dev.azure.com/realeitesorg/it.ites.deploy.contabilita/_build?definitionId=5169</v>
          </cell>
          <cell r="AB28" t="str">
            <v>7ribon1_CORRETTIVA</v>
          </cell>
        </row>
        <row r="29">
          <cell r="A29" t="str">
            <v>7ribon1_EVOLUTIVA</v>
          </cell>
          <cell r="B29" t="str">
            <v>RIBES</v>
          </cell>
          <cell r="C29" t="str">
            <v>Vitiello</v>
          </cell>
          <cell r="D29" t="str">
            <v>Rilascio RIBES 7RIBON1</v>
          </cell>
          <cell r="E29" t="str">
            <v>Ribes</v>
          </cell>
          <cell r="F29" t="str">
            <v>Azure Devops</v>
          </cell>
          <cell r="G29" t="str">
            <v>it.ites.deploy.contabilita</v>
          </cell>
          <cell r="H29" t="str">
            <v>23.00</v>
          </cell>
          <cell r="I29" t="str">
            <v>ear</v>
          </cell>
          <cell r="J29"/>
          <cell r="K29"/>
          <cell r="L29"/>
          <cell r="M29" t="str">
            <v>https://dev.azure.com/realeitesorg/it.ites.deploy.contabilita/_build?definitionId=5170</v>
          </cell>
          <cell r="AB29" t="str">
            <v>7ribon1_EVOLUTIVA</v>
          </cell>
        </row>
        <row r="30">
          <cell r="A30" t="str">
            <v>7ribon3_CORRETTIVA</v>
          </cell>
          <cell r="B30" t="str">
            <v>RIBES</v>
          </cell>
          <cell r="C30" t="str">
            <v>Vitiello</v>
          </cell>
          <cell r="D30" t="str">
            <v>Rilascio RIBES 7RIBON3</v>
          </cell>
          <cell r="E30" t="str">
            <v>Ribes</v>
          </cell>
          <cell r="F30" t="str">
            <v>Azure Devops</v>
          </cell>
          <cell r="G30" t="str">
            <v>it.ites.deploy.contabilita</v>
          </cell>
          <cell r="H30" t="str">
            <v>23.00</v>
          </cell>
          <cell r="I30" t="str">
            <v>ear</v>
          </cell>
          <cell r="J30"/>
          <cell r="K30"/>
          <cell r="L30"/>
          <cell r="M30" t="str">
            <v>https://dev.azure.com/realeitesorg/it.ites.deploy.contabilita/_build?definitionId=5176</v>
          </cell>
          <cell r="AB30" t="str">
            <v>7ribon3_CORRETTIVA</v>
          </cell>
        </row>
        <row r="31">
          <cell r="A31" t="str">
            <v>7ribon3_EVOLUTIVA</v>
          </cell>
          <cell r="B31" t="str">
            <v>RIBES</v>
          </cell>
          <cell r="C31" t="str">
            <v>Vitiello</v>
          </cell>
          <cell r="D31" t="str">
            <v>Rilascio RIBES 7RIBON3</v>
          </cell>
          <cell r="E31" t="str">
            <v>Ribes</v>
          </cell>
          <cell r="F31" t="str">
            <v>Azure Devops</v>
          </cell>
          <cell r="G31" t="str">
            <v>it.ites.deploy.contabilita</v>
          </cell>
          <cell r="H31" t="str">
            <v>23.00</v>
          </cell>
          <cell r="I31" t="str">
            <v>ear</v>
          </cell>
          <cell r="J31"/>
          <cell r="K31"/>
          <cell r="L31"/>
          <cell r="M31" t="str">
            <v>https://dev.azure.com/realeitesorg/it.ites.deploy.contabilita/_build?definitionId=5175</v>
          </cell>
          <cell r="AB31" t="str">
            <v>7ribon3_EVOLUTIVA</v>
          </cell>
        </row>
        <row r="32">
          <cell r="A32" t="str">
            <v>7RMAEAI</v>
          </cell>
          <cell r="B32" t="str">
            <v>INTEGRAZIONE</v>
          </cell>
          <cell r="C32" t="str">
            <v>Martino</v>
          </cell>
          <cell r="D32" t="str">
            <v>Rilascio pacchetto 7RMAEAICONSOLE</v>
          </cell>
          <cell r="E32" t="str">
            <v>Integrazione</v>
          </cell>
          <cell r="F32" t="str">
            <v>Ikan Alm</v>
          </cell>
          <cell r="G32" t="str">
            <v>INTEGRAZIONE</v>
          </cell>
          <cell r="H32" t="str">
            <v>23.00</v>
          </cell>
          <cell r="I32" t="str">
            <v>ear</v>
          </cell>
          <cell r="J32"/>
          <cell r="K32"/>
          <cell r="L32"/>
          <cell r="M32"/>
          <cell r="AB32" t="str">
            <v>7RMAEAI</v>
          </cell>
        </row>
        <row r="33">
          <cell r="A33" t="str">
            <v>7SIGADM</v>
          </cell>
          <cell r="B33" t="str">
            <v>SIGEA AUTO</v>
          </cell>
          <cell r="C33" t="str">
            <v>Treno Danni</v>
          </cell>
          <cell r="D33" t="str">
            <v>Rilascio Sigea Admin</v>
          </cell>
          <cell r="E33" t="str">
            <v>SIGEA Admin</v>
          </cell>
          <cell r="F33" t="str">
            <v>Ikan Alm</v>
          </cell>
          <cell r="G33" t="str">
            <v>SIGEALNX</v>
          </cell>
          <cell r="H33" t="str">
            <v>23.00</v>
          </cell>
          <cell r="I33" t="str">
            <v>ear</v>
          </cell>
          <cell r="J33"/>
          <cell r="K33"/>
          <cell r="L33"/>
          <cell r="M33"/>
          <cell r="AB33" t="str">
            <v>7SIGADM</v>
          </cell>
        </row>
        <row r="34">
          <cell r="A34" t="str">
            <v>7STAMPAQUIETWS-EVO</v>
          </cell>
          <cell r="B34" t="str">
            <v>INTEGRAZIONE</v>
          </cell>
          <cell r="C34" t="str">
            <v>Martino</v>
          </cell>
          <cell r="D34" t="str">
            <v>Rilascio pacchetto 7STAMPEQUIETWS</v>
          </cell>
          <cell r="E34" t="str">
            <v>Integrazione - WS</v>
          </cell>
          <cell r="F34" t="str">
            <v>Ikan Alm</v>
          </cell>
          <cell r="G34" t="str">
            <v>INTEGRAZIONE</v>
          </cell>
          <cell r="H34" t="str">
            <v>23.00</v>
          </cell>
          <cell r="I34" t="str">
            <v>ear</v>
          </cell>
          <cell r="J34"/>
          <cell r="K34"/>
          <cell r="L34"/>
          <cell r="M34"/>
          <cell r="AB34" t="str">
            <v>7STAMPAQUIETWS-EVO</v>
          </cell>
        </row>
        <row r="35">
          <cell r="A35" t="str">
            <v>ANAGRAFE-COR-</v>
          </cell>
          <cell r="B35" t="str">
            <v>EDW - ESTRATTORI</v>
          </cell>
          <cell r="C35" t="str">
            <v>Cauda</v>
          </cell>
          <cell r="D35" t="str">
            <v>Rilascio pacchetto ETL</v>
          </cell>
          <cell r="E35" t="str">
            <v>ETL - Anagrafe Tributaria</v>
          </cell>
          <cell r="F35" t="str">
            <v>Ikan Alm</v>
          </cell>
          <cell r="G35" t="str">
            <v>ADAPTER_ANAGRAFEB_corr_evo-R02</v>
          </cell>
          <cell r="H35" t="str">
            <v>dopo ok al rilascio</v>
          </cell>
          <cell r="I35" t="str">
            <v>etl</v>
          </cell>
          <cell r="J35"/>
          <cell r="K35"/>
          <cell r="L35"/>
          <cell r="M35"/>
          <cell r="AB35" t="str">
            <v>ANAGRAFE-COR-</v>
          </cell>
        </row>
        <row r="36">
          <cell r="A36" t="str">
            <v>ANAGRAFE-EVO-</v>
          </cell>
          <cell r="B36" t="str">
            <v>EDW - ESTRATTORI</v>
          </cell>
          <cell r="C36" t="str">
            <v>Cauda</v>
          </cell>
          <cell r="D36" t="str">
            <v>Rilascio pacchetto ETL</v>
          </cell>
          <cell r="E36" t="str">
            <v>ETL - Anagrafe Tributaria</v>
          </cell>
          <cell r="F36" t="str">
            <v>Ikan Alm</v>
          </cell>
          <cell r="G36" t="str">
            <v>ADAPTER_ANAGRAFEB_corr_evo-R02</v>
          </cell>
          <cell r="H36" t="str">
            <v>dopo ok al rilascio</v>
          </cell>
          <cell r="I36" t="str">
            <v>etl</v>
          </cell>
          <cell r="J36"/>
          <cell r="K36"/>
          <cell r="L36"/>
          <cell r="M36"/>
          <cell r="AB36" t="str">
            <v>ANAGRAFE-EVO-</v>
          </cell>
        </row>
        <row r="37">
          <cell r="A37" t="str">
            <v>anagrafeweb.ApiAnagrafeBE_CORRETTIVA</v>
          </cell>
          <cell r="B37" t="str">
            <v>ANAGRAFE WEB</v>
          </cell>
          <cell r="C37" t="str">
            <v>Bugni Batte</v>
          </cell>
          <cell r="D37" t="str">
            <v>SMIANAG1 - anagrafeweb.ApiAnagrafeBE</v>
          </cell>
          <cell r="E37" t="str">
            <v>AnagrafeWeb</v>
          </cell>
          <cell r="F37" t="str">
            <v>Azure Devops</v>
          </cell>
          <cell r="G37" t="str">
            <v>it.grma.anagrafeweb</v>
          </cell>
          <cell r="H37" t="str">
            <v>23.00</v>
          </cell>
          <cell r="I37" t="str">
            <v>ear</v>
          </cell>
          <cell r="J37"/>
          <cell r="K37"/>
          <cell r="L37"/>
          <cell r="M37" t="str">
            <v>https://dev.azure.com/realeitesorg/it.grma.anagrafeweb/_build?definitionId=4144</v>
          </cell>
          <cell r="AB37" t="str">
            <v>anagrafeweb.ApiAnagrafeBE_CORRETTIVA</v>
          </cell>
        </row>
        <row r="38">
          <cell r="A38" t="str">
            <v>anagrafeweb.ApiAnagrafeBE_EVOLUTIVA</v>
          </cell>
          <cell r="B38" t="str">
            <v>ANAGRAFE WEB</v>
          </cell>
          <cell r="C38" t="str">
            <v>Bugni Batte</v>
          </cell>
          <cell r="D38" t="str">
            <v>SMIANAG1 - anagrafeweb.ApiAnagrafeBE</v>
          </cell>
          <cell r="E38" t="str">
            <v>AnagrafeWeb</v>
          </cell>
          <cell r="F38" t="str">
            <v>Azure Devops</v>
          </cell>
          <cell r="G38" t="str">
            <v>it.grma.anagrafeweb</v>
          </cell>
          <cell r="H38" t="str">
            <v>23.00</v>
          </cell>
          <cell r="I38" t="str">
            <v>ear</v>
          </cell>
          <cell r="J38"/>
          <cell r="K38"/>
          <cell r="L38"/>
          <cell r="M38"/>
          <cell r="N38"/>
          <cell r="AB38" t="str">
            <v>anagrafeweb_batch_CORRETTIVA</v>
          </cell>
        </row>
        <row r="39">
          <cell r="A39" t="str">
            <v>anagrafeweb_batch_CORRETTIVA</v>
          </cell>
          <cell r="B39" t="str">
            <v>ANAGRAFE WEB</v>
          </cell>
          <cell r="C39" t="str">
            <v>Bugni Batte</v>
          </cell>
          <cell r="D39" t="str">
            <v>SMIANAG1 - anagrafeweb_batch</v>
          </cell>
          <cell r="E39" t="str">
            <v>AnagrafeWeb</v>
          </cell>
          <cell r="F39" t="str">
            <v>Azure Devops</v>
          </cell>
          <cell r="G39" t="str">
            <v>it.grma.anagrafeweb</v>
          </cell>
          <cell r="H39" t="str">
            <v>23.00</v>
          </cell>
          <cell r="I39" t="str">
            <v>ear</v>
          </cell>
          <cell r="J39"/>
          <cell r="K39"/>
          <cell r="L39"/>
          <cell r="M39" t="str">
            <v>https://dev.azure.com/realeitesorg/it.grma.anagrafeweb/_build?definitionId=4739</v>
          </cell>
          <cell r="N39"/>
          <cell r="AB39" t="str">
            <v>anagrafeweb_batch_EVOLUTIVA</v>
          </cell>
        </row>
        <row r="40">
          <cell r="A40" t="str">
            <v>anagrafeweb_batch_EVOLUTIVA</v>
          </cell>
          <cell r="B40" t="str">
            <v>ANAGRAFE WEB</v>
          </cell>
          <cell r="C40" t="str">
            <v>Bugni Batte</v>
          </cell>
          <cell r="D40" t="str">
            <v>SMIANAG1 - anagrafeweb_batch</v>
          </cell>
          <cell r="E40" t="str">
            <v>AnagrafeWeb</v>
          </cell>
          <cell r="F40" t="str">
            <v>Azure Devops</v>
          </cell>
          <cell r="G40" t="str">
            <v>it.grma.anagrafeweb</v>
          </cell>
          <cell r="H40" t="str">
            <v>23.00</v>
          </cell>
          <cell r="I40" t="str">
            <v>ear</v>
          </cell>
          <cell r="J40"/>
          <cell r="K40"/>
          <cell r="L40"/>
          <cell r="M40" t="str">
            <v>https://dev.azure.com/realeitesorg/it.grma.anagrafeweb/_build?definitionId=4315</v>
          </cell>
          <cell r="N40"/>
          <cell r="AB40" t="str">
            <v>anagrafeweb_oracolo_CORRETTIVA</v>
          </cell>
        </row>
        <row r="41">
          <cell r="A41" t="str">
            <v>anagrafeweb_oracolo_CORRETTIVA</v>
          </cell>
          <cell r="B41" t="str">
            <v>ANAGRAFE WEB</v>
          </cell>
          <cell r="C41" t="str">
            <v>Bugni Batte</v>
          </cell>
          <cell r="D41" t="str">
            <v>SMIANAG1 - anagrafeweb_oracolo</v>
          </cell>
          <cell r="E41" t="str">
            <v>AnagrafeWeb</v>
          </cell>
          <cell r="F41" t="str">
            <v>Azure Devops</v>
          </cell>
          <cell r="G41" t="str">
            <v>it.grma.anagrafeweb</v>
          </cell>
          <cell r="H41" t="str">
            <v>23.00</v>
          </cell>
          <cell r="I41" t="str">
            <v>ear</v>
          </cell>
          <cell r="J41"/>
          <cell r="K41"/>
          <cell r="L41"/>
          <cell r="M41" t="str">
            <v>https://dev.azure.com/realeitesorg/it.grma.anagrafeweb/_build?definitionId=3149</v>
          </cell>
          <cell r="N41"/>
          <cell r="AB41" t="str">
            <v>anagrafeweb_oracolo_EVOLUTIVA</v>
          </cell>
        </row>
        <row r="42">
          <cell r="A42" t="str">
            <v>anagrafeweb_oracolo_EVOLUTIVA</v>
          </cell>
          <cell r="B42" t="str">
            <v>ANAGRAFE WEB</v>
          </cell>
          <cell r="C42" t="str">
            <v>Bugni Batte</v>
          </cell>
          <cell r="D42" t="str">
            <v>SMIANAG1 - anagrafeweb_oracolo</v>
          </cell>
          <cell r="E42" t="str">
            <v>AnagrafeWeb</v>
          </cell>
          <cell r="F42" t="str">
            <v>Azure Devops</v>
          </cell>
          <cell r="G42" t="str">
            <v>it.grma.anagrafeweb</v>
          </cell>
          <cell r="H42" t="str">
            <v>23.00</v>
          </cell>
          <cell r="I42" t="str">
            <v>ear</v>
          </cell>
          <cell r="J42"/>
          <cell r="K42"/>
          <cell r="L42"/>
          <cell r="M42" t="str">
            <v>https://dev.azure.com/realeitesorg/it.grma.anagrafeweb/_build?definitionId=3133</v>
          </cell>
          <cell r="AB42" t="str">
            <v>ApiAnagrafeBE_EVOLUTIVA</v>
          </cell>
        </row>
        <row r="43">
          <cell r="A43" t="str">
            <v>ApiAnagrafeBE_EVOLUTIVA</v>
          </cell>
          <cell r="B43" t="str">
            <v>API</v>
          </cell>
          <cell r="C43" t="str">
            <v>Bugni Batte</v>
          </cell>
          <cell r="D43" t="str">
            <v>SMIANAG1 - anagrafeweb.ApiAnagrafeBE</v>
          </cell>
          <cell r="E43" t="str">
            <v>AnagrafeWeb</v>
          </cell>
          <cell r="F43" t="str">
            <v>Azure Devops</v>
          </cell>
          <cell r="G43" t="str">
            <v>it.grma.anagrafeweb</v>
          </cell>
          <cell r="H43" t="str">
            <v>23.00</v>
          </cell>
          <cell r="I43" t="str">
            <v>ear</v>
          </cell>
          <cell r="J43"/>
          <cell r="K43"/>
          <cell r="L43" t="str">
            <v>WinGNRO1A</v>
          </cell>
          <cell r="M43" t="str">
            <v>https://dev.azure.com/realeitesorg/it.grma.anagrafeweb/_build?definitionId=3277</v>
          </cell>
          <cell r="AB43" t="str">
            <v>APIAnagrafeRealeItes_CORRETTIVA</v>
          </cell>
        </row>
        <row r="44">
          <cell r="A44" t="str">
            <v>APIAnagrafeRealeItes_CORRETTIVA</v>
          </cell>
          <cell r="B44" t="str">
            <v>API</v>
          </cell>
          <cell r="C44" t="str">
            <v>Martino</v>
          </cell>
          <cell r="D44" t="str">
            <v>Rilascio APIAnagrafeRealeItes</v>
          </cell>
          <cell r="E44" t="str">
            <v>BSA/BFF vari</v>
          </cell>
          <cell r="F44" t="str">
            <v>Azure Devops</v>
          </cell>
          <cell r="G44" t="str">
            <v>it.apiServiceLayer</v>
          </cell>
          <cell r="H44" t="str">
            <v>23.00</v>
          </cell>
          <cell r="I44" t="str">
            <v>aks</v>
          </cell>
          <cell r="J44"/>
          <cell r="K44"/>
          <cell r="L44"/>
          <cell r="M44" t="str">
            <v>https://dev.azure.com/realeitesorg/it.apiServiceLayer/_build?definitionId=874</v>
          </cell>
          <cell r="AB44" t="str">
            <v>APIAnagrafeRealeItes_EVOLUTIVA</v>
          </cell>
        </row>
        <row r="45">
          <cell r="A45" t="str">
            <v>APIAnagrafeRealeItes_EVOLUTIVA</v>
          </cell>
          <cell r="B45" t="str">
            <v>API</v>
          </cell>
          <cell r="C45" t="str">
            <v>Martino</v>
          </cell>
          <cell r="D45" t="str">
            <v>Rilascio APIAnagrafeRealeItes</v>
          </cell>
          <cell r="E45" t="str">
            <v>BSA/BFF vari</v>
          </cell>
          <cell r="F45" t="str">
            <v>Azure Devops</v>
          </cell>
          <cell r="G45" t="str">
            <v>it.apiServiceLayer</v>
          </cell>
          <cell r="H45" t="str">
            <v>23.00</v>
          </cell>
          <cell r="I45" t="str">
            <v>aks</v>
          </cell>
          <cell r="J45"/>
          <cell r="K45"/>
          <cell r="L45"/>
          <cell r="M45" t="str">
            <v>https://dev.azure.com/realeitesorg/it.apiServiceLayer/_build?definitionId=873</v>
          </cell>
          <cell r="AB45" t="str">
            <v>APIAutoRealeItes_CORRETTIVA</v>
          </cell>
        </row>
        <row r="46">
          <cell r="A46" t="str">
            <v>APIAutoRealeItes_CORRETTIVA</v>
          </cell>
          <cell r="B46" t="str">
            <v>API</v>
          </cell>
          <cell r="C46" t="str">
            <v>Martino</v>
          </cell>
          <cell r="D46" t="str">
            <v>Rilascio APIAutoRealeItes</v>
          </cell>
          <cell r="E46" t="str">
            <v>BSA/BFF vari</v>
          </cell>
          <cell r="F46" t="str">
            <v>Azure Devops</v>
          </cell>
          <cell r="G46" t="str">
            <v>it.apiServiceLayer</v>
          </cell>
          <cell r="H46" t="str">
            <v>23.00</v>
          </cell>
          <cell r="I46" t="str">
            <v>aks</v>
          </cell>
          <cell r="J46" t="str">
            <v>https://dev.azure.com/realeitesorg/it.apiServiceLayer/_build?definitionId=918</v>
          </cell>
          <cell r="K46"/>
          <cell r="L46" t="str">
            <v>APIAutoRealeItes_CORRETTIVA</v>
          </cell>
          <cell r="M46" t="str">
            <v>https://dev.azure.com/realeitesorg/it.apiServiceLayer/_build?definitionId=918</v>
          </cell>
          <cell r="AB46" t="str">
            <v>APIAutoRealeItes_EVOLUTIVA</v>
          </cell>
        </row>
        <row r="47">
          <cell r="A47" t="str">
            <v>APIAutoRealeItes_EVOLUTIVA</v>
          </cell>
          <cell r="B47" t="str">
            <v>API</v>
          </cell>
          <cell r="C47" t="str">
            <v>Martino</v>
          </cell>
          <cell r="D47" t="str">
            <v>Rilascio APIAutoRealeItes</v>
          </cell>
          <cell r="E47" t="str">
            <v>BSA/BFF vari</v>
          </cell>
          <cell r="F47" t="str">
            <v>Azure Devops</v>
          </cell>
          <cell r="G47" t="str">
            <v>it.apiServiceLayer</v>
          </cell>
          <cell r="H47" t="str">
            <v>23.00</v>
          </cell>
          <cell r="I47" t="str">
            <v>aks</v>
          </cell>
          <cell r="J47"/>
          <cell r="K47"/>
          <cell r="L47"/>
          <cell r="M47" t="str">
            <v>https://dev.azure.com/realeitesorg/it.apiServiceLayer/_build?definitionId=917</v>
          </cell>
          <cell r="AB47" t="str">
            <v>APICacheRealeItes_EVOLUTIVA</v>
          </cell>
        </row>
        <row r="48">
          <cell r="A48" t="str">
            <v>APICacheRealeItes_EVOLUTIVA</v>
          </cell>
          <cell r="B48" t="str">
            <v>API</v>
          </cell>
          <cell r="C48" t="str">
            <v>Martino</v>
          </cell>
          <cell r="D48" t="str">
            <v>Rilascio APICache</v>
          </cell>
          <cell r="E48" t="str">
            <v>BSA/BFF vari</v>
          </cell>
          <cell r="F48" t="str">
            <v>Azure Devops</v>
          </cell>
          <cell r="G48" t="str">
            <v>it.apiServiceLayer</v>
          </cell>
          <cell r="H48" t="str">
            <v>23.00</v>
          </cell>
          <cell r="I48" t="str">
            <v>aks</v>
          </cell>
          <cell r="J48"/>
          <cell r="K48"/>
          <cell r="L48"/>
          <cell r="M48" t="str">
            <v>https://dev.azure.com/realeitesorg/it.apiServiceLayer/_build?definitionId=4458</v>
          </cell>
          <cell r="AB48" t="str">
            <v>ApiCommon</v>
          </cell>
        </row>
        <row r="49">
          <cell r="A49" t="str">
            <v>ApiCommon</v>
          </cell>
          <cell r="B49" t="str">
            <v>INTEGRAZIONE</v>
          </cell>
          <cell r="C49" t="str">
            <v>Martino</v>
          </cell>
          <cell r="D49" t="str">
            <v>Evoluzione Sistemi Integrazione APICommon</v>
          </cell>
          <cell r="E49" t="str">
            <v>Integrazione</v>
          </cell>
          <cell r="F49" t="str">
            <v>Azure Devops</v>
          </cell>
          <cell r="G49" t="str">
            <v>it.integration</v>
          </cell>
          <cell r="H49" t="str">
            <v>23.00</v>
          </cell>
          <cell r="I49" t="str">
            <v>aks</v>
          </cell>
          <cell r="J49"/>
          <cell r="K49"/>
          <cell r="L49"/>
          <cell r="M49"/>
          <cell r="AB49" t="str">
            <v>APIComuneRealeItes - CONFIG PRODUZIONE</v>
          </cell>
        </row>
        <row r="50">
          <cell r="A50" t="str">
            <v>APIComuneRealeItes - CONFIG PRODUZIONE</v>
          </cell>
          <cell r="B50" t="str">
            <v>API</v>
          </cell>
          <cell r="C50" t="str">
            <v>Martino</v>
          </cell>
          <cell r="D50" t="str">
            <v>Rilascio APIComuneRealeItes - CONFIG PRODUZIONE</v>
          </cell>
          <cell r="E50" t="str">
            <v>BSA/BFF vari</v>
          </cell>
          <cell r="F50" t="str">
            <v>Azure Devops</v>
          </cell>
          <cell r="G50" t="str">
            <v>it.apiServiceLayer</v>
          </cell>
          <cell r="H50" t="str">
            <v>22.00</v>
          </cell>
          <cell r="I50" t="str">
            <v>aks</v>
          </cell>
          <cell r="J50"/>
          <cell r="K50"/>
          <cell r="L50"/>
          <cell r="M50" t="str">
            <v>https://dev.azure.com/realeitesorg/it.apiServiceLayer/_build?definitionId=4172</v>
          </cell>
          <cell r="AB50" t="str">
            <v>APIContabilitaRealeItes_CORRETTIVA</v>
          </cell>
        </row>
        <row r="51">
          <cell r="A51" t="str">
            <v>APIContabilitaRealeItes_CORRETTIVA</v>
          </cell>
          <cell r="B51" t="str">
            <v>API</v>
          </cell>
          <cell r="C51" t="str">
            <v>Martino</v>
          </cell>
          <cell r="D51" t="str">
            <v>Rilascio APIContabilitaRealeItes</v>
          </cell>
          <cell r="E51" t="str">
            <v>BSA/BFF vari</v>
          </cell>
          <cell r="F51" t="str">
            <v>Azure Devops</v>
          </cell>
          <cell r="G51" t="str">
            <v>it.apiServiceLayer</v>
          </cell>
          <cell r="H51" t="str">
            <v>23.00</v>
          </cell>
          <cell r="I51" t="str">
            <v>aks</v>
          </cell>
          <cell r="J51"/>
          <cell r="K51"/>
          <cell r="L51"/>
          <cell r="M51" t="str">
            <v>https://dev.azure.com/realeitesorg/it.apiServiceLayer/_build?definitionId=881</v>
          </cell>
          <cell r="AB51" t="str">
            <v>APIContabilitaRealeItes_EVOLUTIVA</v>
          </cell>
        </row>
        <row r="52">
          <cell r="A52" t="str">
            <v>APIContabilitaRealeItes_EVOLUTIVA</v>
          </cell>
          <cell r="B52" t="str">
            <v>API</v>
          </cell>
          <cell r="C52" t="str">
            <v>Martino</v>
          </cell>
          <cell r="D52" t="str">
            <v>Rilascio APIContabilitaRealeItes</v>
          </cell>
          <cell r="E52" t="str">
            <v>BSA/BFF vari</v>
          </cell>
          <cell r="F52" t="str">
            <v>Azure Devops</v>
          </cell>
          <cell r="G52" t="str">
            <v>it.apiServiceLayer</v>
          </cell>
          <cell r="H52" t="str">
            <v>23.00</v>
          </cell>
          <cell r="I52" t="str">
            <v>aks</v>
          </cell>
          <cell r="J52"/>
          <cell r="K52"/>
          <cell r="L52"/>
          <cell r="M52" t="str">
            <v>https://dev.azure.com/realeitesorg/it.apiServiceLayer/_build?definitionId=880</v>
          </cell>
          <cell r="AB52" t="str">
            <v>APICosmos</v>
          </cell>
        </row>
        <row r="53">
          <cell r="A53" t="str">
            <v>APICosmos</v>
          </cell>
          <cell r="B53" t="str">
            <v>INTEGRAZIONE</v>
          </cell>
          <cell r="C53" t="str">
            <v>Martino</v>
          </cell>
          <cell r="D53" t="str">
            <v>Evoluzione Sistemi Integrazione APICosmos</v>
          </cell>
          <cell r="E53" t="str">
            <v>Integrazione</v>
          </cell>
          <cell r="F53" t="str">
            <v>Azure Devops</v>
          </cell>
          <cell r="G53" t="str">
            <v>it.integration</v>
          </cell>
          <cell r="H53" t="str">
            <v>23.00</v>
          </cell>
          <cell r="I53" t="str">
            <v>aks</v>
          </cell>
          <cell r="J53"/>
          <cell r="K53"/>
          <cell r="L53"/>
          <cell r="M53"/>
          <cell r="AB53" t="str">
            <v>APIDanniNonAutoRealeItes_CORRETTIVA</v>
          </cell>
        </row>
        <row r="54">
          <cell r="A54" t="str">
            <v>APIDanniNonAutoRealeItes_CORRETTIVA</v>
          </cell>
          <cell r="B54" t="str">
            <v>API</v>
          </cell>
          <cell r="C54" t="str">
            <v>Martino</v>
          </cell>
          <cell r="D54" t="str">
            <v>Rilascio APIDanniNonAutoRealeItes</v>
          </cell>
          <cell r="E54" t="str">
            <v>BSA/BFF vari</v>
          </cell>
          <cell r="F54" t="str">
            <v>Azure Devops</v>
          </cell>
          <cell r="G54" t="str">
            <v>it.apiServiceLayer</v>
          </cell>
          <cell r="H54" t="str">
            <v>23.00</v>
          </cell>
          <cell r="I54" t="str">
            <v>aks</v>
          </cell>
          <cell r="J54"/>
          <cell r="K54"/>
          <cell r="L54"/>
          <cell r="M54" t="str">
            <v>https://dev.azure.com/realeitesorg/it.apiServiceLayer/_build?definitionId=925</v>
          </cell>
          <cell r="AB54" t="str">
            <v>APIDanniNonAutoRealeItes_EVOLUTIVA</v>
          </cell>
        </row>
        <row r="55">
          <cell r="A55" t="str">
            <v>APIDanniNonAutoRealeItes_EVOLUTIVA</v>
          </cell>
          <cell r="B55" t="str">
            <v>API</v>
          </cell>
          <cell r="C55" t="str">
            <v>Martino</v>
          </cell>
          <cell r="D55" t="str">
            <v>Rilascio APIDanniNonAutoRealeItes</v>
          </cell>
          <cell r="E55" t="str">
            <v>BSA/BFF vari</v>
          </cell>
          <cell r="F55" t="str">
            <v>Azure Devops</v>
          </cell>
          <cell r="G55" t="str">
            <v>it.apiServiceLayer</v>
          </cell>
          <cell r="H55" t="str">
            <v>23.00</v>
          </cell>
          <cell r="I55" t="str">
            <v>aks</v>
          </cell>
          <cell r="J55"/>
          <cell r="K55"/>
          <cell r="L55"/>
          <cell r="M55" t="str">
            <v>https://dev.azure.com/realeitesorg/it.apiServiceLayer/_build?definitionId=922</v>
          </cell>
          <cell r="AB55" t="str">
            <v>APIDocumentaleRealeItes_CORRETTIVA</v>
          </cell>
        </row>
        <row r="56">
          <cell r="A56" t="str">
            <v>APIDocumentaleRealeItes_CORRETTIVA</v>
          </cell>
          <cell r="B56" t="str">
            <v>API</v>
          </cell>
          <cell r="C56" t="str">
            <v>Martino</v>
          </cell>
          <cell r="D56" t="str">
            <v>Rilascio APIDocumentaleRealeItes</v>
          </cell>
          <cell r="E56" t="str">
            <v>BSA/BFF vari</v>
          </cell>
          <cell r="F56" t="str">
            <v>Azure Devops</v>
          </cell>
          <cell r="G56" t="str">
            <v>it.apiServiceLayer</v>
          </cell>
          <cell r="H56" t="str">
            <v>23.00</v>
          </cell>
          <cell r="I56" t="str">
            <v>aks</v>
          </cell>
          <cell r="J56"/>
          <cell r="K56"/>
          <cell r="L56"/>
          <cell r="M56" t="str">
            <v>https://dev.azure.com/realeitesorg/it.apiServiceLayer/_build?definitionId=893</v>
          </cell>
          <cell r="AB56" t="str">
            <v>APIDocumentaleRealeItes_EVOLUTIVA</v>
          </cell>
        </row>
        <row r="57">
          <cell r="A57" t="str">
            <v>APIDocumentaleRealeItes_EVOLUTIVA</v>
          </cell>
          <cell r="B57" t="str">
            <v>API</v>
          </cell>
          <cell r="C57" t="str">
            <v>Martino</v>
          </cell>
          <cell r="D57" t="str">
            <v>Rilascio APIDocumentaleRealeItes</v>
          </cell>
          <cell r="E57" t="str">
            <v>BSA/BFF vari</v>
          </cell>
          <cell r="F57" t="str">
            <v>Azure Devops</v>
          </cell>
          <cell r="G57" t="str">
            <v>it.apiServiceLayer</v>
          </cell>
          <cell r="H57" t="str">
            <v>23.00</v>
          </cell>
          <cell r="I57" t="str">
            <v>aks</v>
          </cell>
          <cell r="J57"/>
          <cell r="K57"/>
          <cell r="L57"/>
          <cell r="M57" t="str">
            <v>https://dev.azure.com/realeitesorg/it.apiServiceLayer/_build?definitionId=892</v>
          </cell>
          <cell r="AB57" t="str">
            <v>APIDominiApplicativiRealeItes_CORRETTIVA</v>
          </cell>
        </row>
        <row r="58">
          <cell r="A58" t="str">
            <v>APIDominiApplicativiRealeItes_CORRETTIVA</v>
          </cell>
          <cell r="B58" t="str">
            <v>API</v>
          </cell>
          <cell r="C58" t="str">
            <v>Martino</v>
          </cell>
          <cell r="D58" t="str">
            <v>Rilascio APIDominiApplicativiRealeItes</v>
          </cell>
          <cell r="E58" t="str">
            <v>BSA/BFF vari</v>
          </cell>
          <cell r="F58" t="str">
            <v>Azure Devops</v>
          </cell>
          <cell r="G58" t="str">
            <v>it.apiServiceLayer</v>
          </cell>
          <cell r="H58" t="str">
            <v>23.00</v>
          </cell>
          <cell r="I58" t="str">
            <v>aks</v>
          </cell>
          <cell r="J58"/>
          <cell r="K58"/>
          <cell r="L58"/>
          <cell r="M58" t="str">
            <v>https://dev.azure.com/realeitesorg/it.apiServiceLayer/_build?definitionId=884</v>
          </cell>
          <cell r="AB58" t="str">
            <v>APIDominiApplicativiRealeItes_EVOLUTIVA</v>
          </cell>
        </row>
        <row r="59">
          <cell r="A59" t="str">
            <v>APIDominiApplicativiRealeItes_EVOLUTIVA</v>
          </cell>
          <cell r="B59" t="str">
            <v>API</v>
          </cell>
          <cell r="C59" t="str">
            <v>Martino</v>
          </cell>
          <cell r="D59" t="str">
            <v>Rilascio APIDominiApplicativiRealeItes</v>
          </cell>
          <cell r="E59" t="str">
            <v>BSA/BFF vari</v>
          </cell>
          <cell r="F59" t="str">
            <v>Azure Devops</v>
          </cell>
          <cell r="G59" t="str">
            <v>it.apiServiceLayer</v>
          </cell>
          <cell r="H59" t="str">
            <v>23.00</v>
          </cell>
          <cell r="I59" t="str">
            <v>aks</v>
          </cell>
          <cell r="J59"/>
          <cell r="K59"/>
          <cell r="L59"/>
          <cell r="M59" t="str">
            <v>https://dev.azure.com/realeitesorg/it.apiServiceLayer/_build?definitionId=883</v>
          </cell>
          <cell r="AB59" t="str">
            <v>APIGestioneClienteRealeItes_CORRETTIVA</v>
          </cell>
        </row>
        <row r="60">
          <cell r="A60" t="str">
            <v>APIGestioneClienteRealeItes_CORRETTIVA</v>
          </cell>
          <cell r="B60" t="str">
            <v>API</v>
          </cell>
          <cell r="C60" t="str">
            <v>Martino</v>
          </cell>
          <cell r="D60" t="str">
            <v>Rilascio APIGestioneClienteRealeItes</v>
          </cell>
          <cell r="E60" t="str">
            <v>BSA/BFF vari</v>
          </cell>
          <cell r="F60" t="str">
            <v>Azure Devops</v>
          </cell>
          <cell r="G60" t="str">
            <v>it.apiServiceLayer</v>
          </cell>
          <cell r="H60" t="str">
            <v>23.00</v>
          </cell>
          <cell r="I60" t="str">
            <v>aks</v>
          </cell>
          <cell r="J60"/>
          <cell r="K60"/>
          <cell r="L60"/>
          <cell r="M60" t="str">
            <v>https://dev.azure.com/realeitesorg/it.apiServiceLayer/_build?definitionId=887</v>
          </cell>
          <cell r="AB60" t="str">
            <v>APIGestioneClienteRealeItes_EVOLUTIVA</v>
          </cell>
        </row>
        <row r="61">
          <cell r="A61" t="str">
            <v>APIGestioneClienteRealeItes_EVOLUTIVA</v>
          </cell>
          <cell r="B61" t="str">
            <v>API</v>
          </cell>
          <cell r="C61" t="str">
            <v>Martino</v>
          </cell>
          <cell r="D61" t="str">
            <v>Rilascio APIGestioneClienteRealeItes</v>
          </cell>
          <cell r="E61" t="str">
            <v>BSA/BFF vari</v>
          </cell>
          <cell r="F61" t="str">
            <v>Azure Devops</v>
          </cell>
          <cell r="G61" t="str">
            <v>it.apiServiceLayer</v>
          </cell>
          <cell r="H61" t="str">
            <v>23.00</v>
          </cell>
          <cell r="I61" t="str">
            <v>aks</v>
          </cell>
          <cell r="J61"/>
          <cell r="K61"/>
          <cell r="L61"/>
          <cell r="M61" t="str">
            <v>https://dev.azure.com/realeitesorg/it.apiServiceLayer/_build?definitionId=886</v>
          </cell>
          <cell r="AB61" t="str">
            <v>APIIsaacRealeItes_CORRETTIVA</v>
          </cell>
        </row>
        <row r="62">
          <cell r="A62" t="str">
            <v>APIIsaacRealeItes_CORRETTIVA</v>
          </cell>
          <cell r="B62" t="str">
            <v>API</v>
          </cell>
          <cell r="C62" t="str">
            <v>Martino</v>
          </cell>
          <cell r="D62" t="str">
            <v>Rilascio APIIsaacRealeItes</v>
          </cell>
          <cell r="E62" t="str">
            <v>BSA/BFF vari</v>
          </cell>
          <cell r="F62" t="str">
            <v>Azure Devops</v>
          </cell>
          <cell r="G62" t="str">
            <v>it.apiServiceLayer</v>
          </cell>
          <cell r="H62" t="str">
            <v>23.00</v>
          </cell>
          <cell r="I62" t="str">
            <v>aks</v>
          </cell>
          <cell r="M62" t="str">
            <v>https://dev.azure.com/realeitesorg/it.apiServiceLayer/_build?definitionId=1100</v>
          </cell>
          <cell r="AB62" t="str">
            <v>APIMiddlewareRealeItes_CORRETTIVA</v>
          </cell>
        </row>
        <row r="63">
          <cell r="A63" t="str">
            <v>APIMiddlewareRealeItes_CORRETTIVA</v>
          </cell>
          <cell r="B63" t="str">
            <v>API</v>
          </cell>
          <cell r="C63" t="str">
            <v>Martino</v>
          </cell>
          <cell r="D63" t="str">
            <v>Rilascio APIMiddlewareRealeItes</v>
          </cell>
          <cell r="E63" t="str">
            <v>BSA/BFF vari</v>
          </cell>
          <cell r="F63" t="str">
            <v>Azure Devops</v>
          </cell>
          <cell r="G63" t="str">
            <v>it.apiServiceLayer</v>
          </cell>
          <cell r="H63" t="str">
            <v>23.00</v>
          </cell>
          <cell r="I63" t="str">
            <v>aks</v>
          </cell>
          <cell r="J63"/>
          <cell r="K63"/>
          <cell r="L63"/>
          <cell r="M63" t="str">
            <v>https://dev.azure.com/realeitesorg/it.apiServiceLayer/_build?definitionId=890</v>
          </cell>
          <cell r="AB63" t="str">
            <v>APIMiddlewareRealeItes_EVOLUTIVA</v>
          </cell>
        </row>
        <row r="64">
          <cell r="A64" t="str">
            <v>APIMiddlewareRealeItes_EVOLUTIVA</v>
          </cell>
          <cell r="B64" t="str">
            <v>API</v>
          </cell>
          <cell r="C64" t="str">
            <v>Martino</v>
          </cell>
          <cell r="D64" t="str">
            <v>Rilascio APIMiddlewareRealeItes</v>
          </cell>
          <cell r="E64" t="str">
            <v>BSA/BFF vari</v>
          </cell>
          <cell r="F64" t="str">
            <v>Azure Devops</v>
          </cell>
          <cell r="G64" t="str">
            <v>it.apiServiceLayer</v>
          </cell>
          <cell r="H64" t="str">
            <v>23.00</v>
          </cell>
          <cell r="I64" t="str">
            <v>aks</v>
          </cell>
          <cell r="J64"/>
          <cell r="K64"/>
          <cell r="L64"/>
          <cell r="M64" t="str">
            <v>https://dev.azure.com/realeitesorg/it.apiServiceLayer/_build?definitionId=889</v>
          </cell>
          <cell r="AB64" t="str">
            <v>APIPagamentiRealeItes_CORRETTIVA</v>
          </cell>
        </row>
        <row r="65">
          <cell r="A65" t="str">
            <v>APIPagamentiRealeItes_CORRETTIVA</v>
          </cell>
          <cell r="B65" t="str">
            <v>API</v>
          </cell>
          <cell r="C65" t="str">
            <v>Martino</v>
          </cell>
          <cell r="D65" t="str">
            <v>Rilascio APIPagamentiRealeItes</v>
          </cell>
          <cell r="E65" t="str">
            <v>BSA/BFF vari</v>
          </cell>
          <cell r="F65" t="str">
            <v>Azure Devops</v>
          </cell>
          <cell r="G65" t="str">
            <v>it.apiServiceLayer</v>
          </cell>
          <cell r="H65" t="str">
            <v>23.00</v>
          </cell>
          <cell r="I65" t="str">
            <v>aks</v>
          </cell>
          <cell r="J65"/>
          <cell r="K65"/>
          <cell r="L65"/>
          <cell r="M65"/>
          <cell r="AB65" t="str">
            <v>APIPagamentiRealeItes_EVOLUTIVA</v>
          </cell>
        </row>
        <row r="66">
          <cell r="A66" t="str">
            <v>APIPagamentiRealeItes_EVOLUTIVA</v>
          </cell>
          <cell r="B66" t="str">
            <v>API</v>
          </cell>
          <cell r="C66" t="str">
            <v>Martino</v>
          </cell>
          <cell r="D66" t="str">
            <v>Rilascio APIPagamentiRealeItes</v>
          </cell>
          <cell r="E66" t="str">
            <v>BSA/BFF vari</v>
          </cell>
          <cell r="F66" t="str">
            <v>Azure Devops</v>
          </cell>
          <cell r="G66" t="str">
            <v>it.apiServiceLayer</v>
          </cell>
          <cell r="H66" t="str">
            <v>23.00</v>
          </cell>
          <cell r="I66" t="str">
            <v>aks</v>
          </cell>
          <cell r="J66"/>
          <cell r="K66"/>
          <cell r="L66"/>
          <cell r="M66"/>
          <cell r="AB66" t="str">
            <v>ApiPagoPA</v>
          </cell>
        </row>
        <row r="67">
          <cell r="A67" t="str">
            <v>ApiPagoPA</v>
          </cell>
          <cell r="B67" t="str">
            <v>INTEGRAZIONE</v>
          </cell>
          <cell r="C67" t="str">
            <v>Martino</v>
          </cell>
          <cell r="D67" t="str">
            <v>Evoluzione Sistemi Integrazione APIPagoPA</v>
          </cell>
          <cell r="E67" t="str">
            <v>Integrazione</v>
          </cell>
          <cell r="F67" t="str">
            <v>Azure Devops</v>
          </cell>
          <cell r="G67" t="str">
            <v>it.integration</v>
          </cell>
          <cell r="H67" t="str">
            <v>23.00</v>
          </cell>
          <cell r="I67" t="str">
            <v>aks</v>
          </cell>
          <cell r="J67"/>
          <cell r="K67"/>
          <cell r="L67"/>
          <cell r="M67"/>
          <cell r="AB67" t="str">
            <v>APIPortafoglioRealeItes_CORRETTIVA</v>
          </cell>
        </row>
        <row r="68">
          <cell r="A68" t="str">
            <v>APIPortafoglioRealeItes_CORRETTIVA</v>
          </cell>
          <cell r="B68" t="str">
            <v>API</v>
          </cell>
          <cell r="C68" t="str">
            <v>Martino</v>
          </cell>
          <cell r="D68" t="str">
            <v>Rilascio APIPortafoglioRealeItes</v>
          </cell>
          <cell r="E68" t="str">
            <v>BSA/BFF vari</v>
          </cell>
          <cell r="F68" t="str">
            <v>Azure Devops</v>
          </cell>
          <cell r="G68" t="str">
            <v>it.apiServiceLayer</v>
          </cell>
          <cell r="H68" t="str">
            <v>23.00</v>
          </cell>
          <cell r="I68" t="str">
            <v>aks</v>
          </cell>
          <cell r="J68"/>
          <cell r="K68"/>
          <cell r="L68"/>
          <cell r="M68" t="str">
            <v>https://dev.azure.com/realeitesorg/it.apiServiceLayer/_build?definitionId=859</v>
          </cell>
          <cell r="AB68" t="str">
            <v>APIPortafoglioRealeItes_EVOLUTIVA</v>
          </cell>
        </row>
        <row r="69">
          <cell r="A69" t="str">
            <v>APIPortafoglioRealeItes_EVOLUTIVA</v>
          </cell>
          <cell r="B69" t="str">
            <v>API</v>
          </cell>
          <cell r="C69" t="str">
            <v>Martino</v>
          </cell>
          <cell r="D69" t="str">
            <v>Rilascio APIPortafoglioRealeItes</v>
          </cell>
          <cell r="E69" t="str">
            <v>BSA/BFF vari</v>
          </cell>
          <cell r="F69" t="str">
            <v>Azure Devops</v>
          </cell>
          <cell r="G69" t="str">
            <v>it.apiServiceLayer</v>
          </cell>
          <cell r="H69" t="str">
            <v>23.00</v>
          </cell>
          <cell r="I69" t="str">
            <v>aks</v>
          </cell>
          <cell r="J69"/>
          <cell r="K69"/>
          <cell r="L69"/>
          <cell r="M69" t="str">
            <v>https://dev.azure.com/realeitesorg/it.apiServiceLayer/_build?definitionId=855</v>
          </cell>
          <cell r="AB69" t="str">
            <v>APIQuestionarioAdeguatezzaRealeItes_CORRETTIVA</v>
          </cell>
        </row>
        <row r="70">
          <cell r="A70" t="str">
            <v>APIQuestionarioAdeguatezzaRealeItes_CORRETTIVA</v>
          </cell>
          <cell r="B70" t="str">
            <v>API</v>
          </cell>
          <cell r="C70" t="str">
            <v>Martino</v>
          </cell>
          <cell r="D70" t="str">
            <v>Rilascio APIQuestionarioAdeguatezzaRealeItes</v>
          </cell>
          <cell r="E70" t="str">
            <v>BSA/BFF vari</v>
          </cell>
          <cell r="F70" t="str">
            <v>Azure Devops</v>
          </cell>
          <cell r="G70" t="str">
            <v>it.apiServiceLayer</v>
          </cell>
          <cell r="H70" t="str">
            <v>23.00</v>
          </cell>
          <cell r="I70" t="str">
            <v>aks</v>
          </cell>
          <cell r="J70"/>
          <cell r="K70"/>
          <cell r="L70"/>
          <cell r="M70" t="str">
            <v>https://dev.azure.com/realeitesorg/it.apiServiceLayer/_build?definitionId=860</v>
          </cell>
          <cell r="AB70" t="str">
            <v>APIQuestionarioAdeguatezzaRealeItes_EVOLUTIVA</v>
          </cell>
        </row>
        <row r="71">
          <cell r="A71" t="str">
            <v>APIQuestionarioAdeguatezzaRealeItes_EVOLUTIVA</v>
          </cell>
          <cell r="B71" t="str">
            <v>API</v>
          </cell>
          <cell r="C71" t="str">
            <v>Martino</v>
          </cell>
          <cell r="D71" t="str">
            <v>Rilascio APIQuestionarioAdeguatezzaRealeItes</v>
          </cell>
          <cell r="E71" t="str">
            <v>BSA/BFF vari</v>
          </cell>
          <cell r="F71" t="str">
            <v>Azure Devops</v>
          </cell>
          <cell r="G71" t="str">
            <v>it.apiServiceLayer</v>
          </cell>
          <cell r="H71" t="str">
            <v>23.00</v>
          </cell>
          <cell r="I71" t="str">
            <v>aks</v>
          </cell>
          <cell r="J71"/>
          <cell r="K71"/>
          <cell r="L71"/>
          <cell r="M71" t="str">
            <v>https://dev.azure.com/realeitesorg/it.apiServiceLayer/_build?definitionId=856</v>
          </cell>
          <cell r="AB71" t="str">
            <v>APIQuietanzeRealeItes_CORRETTIVA</v>
          </cell>
        </row>
        <row r="72">
          <cell r="A72" t="str">
            <v>APIQuietanzeRealeItes_CORRETTIVA</v>
          </cell>
          <cell r="B72" t="str">
            <v>API</v>
          </cell>
          <cell r="C72" t="str">
            <v>Martino</v>
          </cell>
          <cell r="D72" t="str">
            <v>Rilascio APIQuietanzeRealeItes</v>
          </cell>
          <cell r="E72" t="str">
            <v>BSA/BFF vari</v>
          </cell>
          <cell r="F72" t="str">
            <v>Azure Devops</v>
          </cell>
          <cell r="G72" t="str">
            <v>it.apiServiceLayer</v>
          </cell>
          <cell r="H72" t="str">
            <v>23.00</v>
          </cell>
          <cell r="I72" t="str">
            <v>aks</v>
          </cell>
          <cell r="J72"/>
          <cell r="K72"/>
          <cell r="L72"/>
          <cell r="M72" t="str">
            <v>https://dev.azure.com/realeitesorg/it.apiServiceLayer/_build?definitionId=861</v>
          </cell>
          <cell r="AB72" t="str">
            <v>APIQuietanzeRealeItes_EVOLUTIVA</v>
          </cell>
        </row>
        <row r="73">
          <cell r="A73" t="str">
            <v>APIQuietanzeRealeItes_EVOLUTIVA</v>
          </cell>
          <cell r="B73" t="str">
            <v>API</v>
          </cell>
          <cell r="C73" t="str">
            <v>Martino</v>
          </cell>
          <cell r="D73" t="str">
            <v>Rilascio APIQuietanzeRealeItes</v>
          </cell>
          <cell r="E73" t="str">
            <v>BSA/BFF vari</v>
          </cell>
          <cell r="F73" t="str">
            <v>Azure Devops</v>
          </cell>
          <cell r="G73" t="str">
            <v>it.apiServiceLayer</v>
          </cell>
          <cell r="H73" t="str">
            <v>23.00</v>
          </cell>
          <cell r="I73" t="str">
            <v>aks</v>
          </cell>
          <cell r="J73"/>
          <cell r="K73"/>
          <cell r="L73"/>
          <cell r="M73"/>
          <cell r="AB73" t="str">
            <v>APIReteVenditaRealeItes_CORRETTIVA</v>
          </cell>
        </row>
        <row r="74">
          <cell r="A74" t="str">
            <v>APIReteVenditaRealeItes_CORRETTIVA</v>
          </cell>
          <cell r="B74" t="str">
            <v>API</v>
          </cell>
          <cell r="C74" t="str">
            <v>Martino</v>
          </cell>
          <cell r="D74" t="str">
            <v>Rilascio APIReteVenditaRealeItes</v>
          </cell>
          <cell r="E74" t="str">
            <v>BSA/BFF vari</v>
          </cell>
          <cell r="F74" t="str">
            <v>Azure Devops</v>
          </cell>
          <cell r="G74" t="str">
            <v>it.apiServiceLayer</v>
          </cell>
          <cell r="H74" t="str">
            <v>23.00</v>
          </cell>
          <cell r="I74" t="str">
            <v>aks</v>
          </cell>
          <cell r="J74"/>
          <cell r="K74"/>
          <cell r="L74"/>
          <cell r="M74" t="str">
            <v>https://dev.azure.com/realeitesorg/it.apiServiceLayer/_build?definitionId=898</v>
          </cell>
          <cell r="AB74" t="str">
            <v>APIReteVenditaRealeItes_EVOLUTIVA</v>
          </cell>
        </row>
        <row r="75">
          <cell r="A75" t="str">
            <v>APIReteVenditaRealeItes_EVOLUTIVA</v>
          </cell>
          <cell r="B75" t="str">
            <v>API</v>
          </cell>
          <cell r="C75" t="str">
            <v>Martino</v>
          </cell>
          <cell r="D75" t="str">
            <v>Rilascio APIReteVenditaRealeItes</v>
          </cell>
          <cell r="E75" t="str">
            <v>BSA/BFF vari</v>
          </cell>
          <cell r="F75" t="str">
            <v>Azure Devops</v>
          </cell>
          <cell r="G75" t="str">
            <v>it.apiServiceLayer</v>
          </cell>
          <cell r="H75" t="str">
            <v>23.00</v>
          </cell>
          <cell r="I75" t="str">
            <v>aks</v>
          </cell>
          <cell r="J75"/>
          <cell r="K75"/>
          <cell r="L75"/>
          <cell r="M75" t="str">
            <v>https://dev.azure.com/realeitesorg/it.apiServiceLayer/_build?definitionId=895</v>
          </cell>
          <cell r="AB75" t="str">
            <v>APIServiziComuniRealeItes_CORRETTIVA</v>
          </cell>
        </row>
        <row r="76">
          <cell r="A76" t="str">
            <v>APIServiziComuniRealeItes_CORRETTIVA</v>
          </cell>
          <cell r="B76" t="str">
            <v>API</v>
          </cell>
          <cell r="C76" t="str">
            <v>Martino</v>
          </cell>
          <cell r="D76" t="str">
            <v>Rilascio APIServiziComuniRealeItes</v>
          </cell>
          <cell r="E76" t="str">
            <v>BSA/BFF vari</v>
          </cell>
          <cell r="F76" t="str">
            <v>Azure Devops</v>
          </cell>
          <cell r="G76" t="str">
            <v>it.apiServiceLayer</v>
          </cell>
          <cell r="H76" t="str">
            <v>23.00</v>
          </cell>
          <cell r="I76" t="str">
            <v>aks</v>
          </cell>
          <cell r="J76"/>
          <cell r="K76"/>
          <cell r="L76"/>
          <cell r="M76" t="str">
            <v>https://dev.azure.com/realeitesorg/it.apiServiceLayer/_build?definitionId=899</v>
          </cell>
          <cell r="AB76" t="str">
            <v>APIServiziComuniRealeItes_EVOLUTIVA</v>
          </cell>
        </row>
        <row r="77">
          <cell r="A77" t="str">
            <v>APIServiziComuniRealeItes_EVOLUTIVA</v>
          </cell>
          <cell r="B77" t="str">
            <v>API</v>
          </cell>
          <cell r="C77" t="str">
            <v>Martino</v>
          </cell>
          <cell r="D77" t="str">
            <v>Rilascio APIServiziComuniRealeItes</v>
          </cell>
          <cell r="E77" t="str">
            <v>BSA/BFF vari</v>
          </cell>
          <cell r="F77" t="str">
            <v>Azure Devops</v>
          </cell>
          <cell r="G77" t="str">
            <v>it.apiServiceLayer</v>
          </cell>
          <cell r="H77" t="str">
            <v>23.00</v>
          </cell>
          <cell r="I77" t="str">
            <v>aks</v>
          </cell>
          <cell r="J77"/>
          <cell r="K77"/>
          <cell r="L77"/>
          <cell r="M77" t="str">
            <v>https://dev.azure.com/realeitesorg/it.apiServiceLayer/_build?definitionId=896</v>
          </cell>
          <cell r="AB77" t="str">
            <v>ApiSigea</v>
          </cell>
        </row>
        <row r="78">
          <cell r="A78" t="str">
            <v>ApiSigea</v>
          </cell>
          <cell r="B78" t="str">
            <v>INTEGRAZIONE</v>
          </cell>
          <cell r="C78" t="str">
            <v>Martino</v>
          </cell>
          <cell r="D78" t="str">
            <v>Evoluzione Sistemi Integrazione APISigea</v>
          </cell>
          <cell r="E78" t="str">
            <v>Integrazione</v>
          </cell>
          <cell r="F78" t="str">
            <v>Azure Devops</v>
          </cell>
          <cell r="G78" t="str">
            <v>it.integration</v>
          </cell>
          <cell r="H78" t="str">
            <v>23.00</v>
          </cell>
          <cell r="I78" t="str">
            <v>aks</v>
          </cell>
          <cell r="J78"/>
          <cell r="K78"/>
          <cell r="L78"/>
          <cell r="M78"/>
          <cell r="AB78" t="str">
            <v>ApiSinistri</v>
          </cell>
        </row>
        <row r="79">
          <cell r="A79" t="str">
            <v>ApiSinistri</v>
          </cell>
          <cell r="B79" t="str">
            <v>INTEGRAZIONE</v>
          </cell>
          <cell r="C79" t="str">
            <v>Martino</v>
          </cell>
          <cell r="D79" t="str">
            <v>Evoluzione Sistemi Integrazione APISinistri</v>
          </cell>
          <cell r="E79" t="str">
            <v>Integrazione</v>
          </cell>
          <cell r="F79" t="str">
            <v>Azure Devops</v>
          </cell>
          <cell r="G79" t="str">
            <v>it.integration</v>
          </cell>
          <cell r="H79" t="str">
            <v>23.00</v>
          </cell>
          <cell r="I79" t="str">
            <v>aks</v>
          </cell>
          <cell r="J79"/>
          <cell r="K79"/>
          <cell r="L79"/>
          <cell r="M79"/>
          <cell r="AB79" t="str">
            <v>APISinistri_deploy</v>
          </cell>
        </row>
        <row r="80">
          <cell r="A80" t="str">
            <v>APISinistri_deploy</v>
          </cell>
          <cell r="B80" t="str">
            <v>API</v>
          </cell>
          <cell r="C80" t="str">
            <v>Martino</v>
          </cell>
          <cell r="D80" t="str">
            <v>Rilascio ApiSinistri</v>
          </cell>
          <cell r="E80" t="str">
            <v>Integrazione</v>
          </cell>
          <cell r="F80" t="str">
            <v>Azure Devops</v>
          </cell>
          <cell r="G80" t="str">
            <v>it.integration</v>
          </cell>
          <cell r="H80" t="str">
            <v>23.00</v>
          </cell>
          <cell r="I80" t="str">
            <v>aks</v>
          </cell>
          <cell r="J80"/>
          <cell r="K80"/>
          <cell r="L80"/>
          <cell r="M80"/>
          <cell r="AB80" t="str">
            <v>APISinistriRealeites_CORRETTIVA</v>
          </cell>
        </row>
        <row r="81">
          <cell r="A81" t="str">
            <v>APISinistriRealeites_CORRETTIVA</v>
          </cell>
          <cell r="B81" t="str">
            <v>API</v>
          </cell>
          <cell r="C81" t="str">
            <v>Martino</v>
          </cell>
          <cell r="D81" t="str">
            <v>Rilascio APISinistriRealeItes</v>
          </cell>
          <cell r="E81" t="str">
            <v>BSA/BFF vari</v>
          </cell>
          <cell r="F81" t="str">
            <v>Azure Devops</v>
          </cell>
          <cell r="G81" t="str">
            <v>it.apiServiceLayer</v>
          </cell>
          <cell r="H81" t="str">
            <v>23.00</v>
          </cell>
          <cell r="I81" t="str">
            <v>aks</v>
          </cell>
          <cell r="J81"/>
          <cell r="K81"/>
          <cell r="L81"/>
          <cell r="M81" t="str">
            <v>https://dev.azure.com/realeitesorg/it.apiServiceLayer/_build?definitionId=1032</v>
          </cell>
          <cell r="AB81" t="str">
            <v>APISinistriRealeites_EVOLUTIVA</v>
          </cell>
        </row>
        <row r="82">
          <cell r="A82" t="str">
            <v>APISinistriRealeites_EVOLUTIVA</v>
          </cell>
          <cell r="B82" t="str">
            <v>API</v>
          </cell>
          <cell r="C82" t="str">
            <v>Martino</v>
          </cell>
          <cell r="D82" t="str">
            <v>Rilascio APISinistriRealeItes</v>
          </cell>
          <cell r="E82" t="str">
            <v>BSA/BFF vari</v>
          </cell>
          <cell r="F82" t="str">
            <v>Azure Devops</v>
          </cell>
          <cell r="G82" t="str">
            <v>it.apiServiceLayer</v>
          </cell>
          <cell r="H82" t="str">
            <v>23.00</v>
          </cell>
          <cell r="I82" t="str">
            <v>aks</v>
          </cell>
          <cell r="J82"/>
          <cell r="K82"/>
          <cell r="L82"/>
          <cell r="M82" t="str">
            <v>https://dev.azure.com/realeitesorg/it.apiServiceLayer/_build?definitionId=1031</v>
          </cell>
          <cell r="AB82" t="str">
            <v>APIStampeRealeItes_AGGIORNA_ORACOLO</v>
          </cell>
        </row>
        <row r="83">
          <cell r="A83" t="str">
            <v>APIStampeRealeItes_AGGIORNA_ORACOLO</v>
          </cell>
          <cell r="B83" t="str">
            <v>API</v>
          </cell>
          <cell r="C83" t="str">
            <v>Martino</v>
          </cell>
          <cell r="D83" t="str">
            <v>Rilascio APIStampeRealeItes_AGGIORNA_ORACOLO</v>
          </cell>
          <cell r="E83" t="str">
            <v>BSA/BFF vari</v>
          </cell>
          <cell r="F83" t="str">
            <v>Azure Devops</v>
          </cell>
          <cell r="G83" t="str">
            <v>it.apiServiceLayer</v>
          </cell>
          <cell r="H83" t="str">
            <v>23.00</v>
          </cell>
          <cell r="I83" t="str">
            <v>aks</v>
          </cell>
          <cell r="J83"/>
          <cell r="K83"/>
          <cell r="L83"/>
          <cell r="M83" t="str">
            <v>https://dev.azure.com/realeitesorg/it.apiServiceLayer/_build?definitionId=2768</v>
          </cell>
          <cell r="AB83" t="str">
            <v>APIStampeRealeItes_CORRETTIVA</v>
          </cell>
        </row>
        <row r="84">
          <cell r="A84" t="str">
            <v>APIStampeRealeItes_CORRETTIVA</v>
          </cell>
          <cell r="B84" t="str">
            <v>API</v>
          </cell>
          <cell r="C84" t="str">
            <v>Martino</v>
          </cell>
          <cell r="D84" t="str">
            <v>Rilascio APIStampeRealeItes</v>
          </cell>
          <cell r="E84" t="str">
            <v>BSA/BFF vari</v>
          </cell>
          <cell r="F84" t="str">
            <v>Azure Devops</v>
          </cell>
          <cell r="G84" t="str">
            <v>it.apiServiceLayer</v>
          </cell>
          <cell r="H84" t="str">
            <v>23.00</v>
          </cell>
          <cell r="I84" t="str">
            <v>aks</v>
          </cell>
          <cell r="J84"/>
          <cell r="K84"/>
          <cell r="L84"/>
          <cell r="M84" t="str">
            <v>https://dev.azure.com/realeitesorg/it.apiServiceLayer/_build?definitionId=939</v>
          </cell>
          <cell r="AB84" t="str">
            <v>APIStampeRealeItes_EVOLUTIVA</v>
          </cell>
        </row>
        <row r="85">
          <cell r="A85" t="str">
            <v>APIStampeRealeItes_EVOLUTIVA</v>
          </cell>
          <cell r="B85" t="str">
            <v>API</v>
          </cell>
          <cell r="C85" t="str">
            <v>Martino</v>
          </cell>
          <cell r="D85" t="str">
            <v>Rilascio APIStampeRealeItes</v>
          </cell>
          <cell r="E85" t="str">
            <v>BSA/BFF vari</v>
          </cell>
          <cell r="F85" t="str">
            <v>Azure Devops</v>
          </cell>
          <cell r="G85" t="str">
            <v>it.apiServiceLayer</v>
          </cell>
          <cell r="H85" t="str">
            <v>23.00</v>
          </cell>
          <cell r="I85" t="str">
            <v>aks</v>
          </cell>
          <cell r="J85"/>
          <cell r="K85"/>
          <cell r="L85"/>
          <cell r="M85" t="str">
            <v>https://dev.azure.com/realeitesorg/it.apiServiceLayer/_build?definitionId=938</v>
          </cell>
          <cell r="AB85" t="str">
            <v>APIVita_Deploy</v>
          </cell>
        </row>
        <row r="86">
          <cell r="A86" t="str">
            <v>APIVita_Deploy</v>
          </cell>
          <cell r="B86" t="str">
            <v>INTEGRAZIONE</v>
          </cell>
          <cell r="C86" t="str">
            <v>Martino</v>
          </cell>
          <cell r="D86" t="str">
            <v>Evoluzione Sistemi Integrazione APIVita</v>
          </cell>
          <cell r="E86" t="str">
            <v>Integrazione</v>
          </cell>
          <cell r="F86" t="str">
            <v>Azure Devops</v>
          </cell>
          <cell r="G86" t="str">
            <v>it.integration</v>
          </cell>
          <cell r="H86" t="str">
            <v>23.00</v>
          </cell>
          <cell r="I86" t="str">
            <v>aks</v>
          </cell>
          <cell r="J86"/>
          <cell r="K86"/>
          <cell r="L86"/>
          <cell r="M86"/>
          <cell r="AB86" t="str">
            <v>APIVitaLegacyRealeItes_CORRETTIVA</v>
          </cell>
        </row>
        <row r="87">
          <cell r="A87" t="str">
            <v>APIVitaLegacyRealeItes_CORRETTIVA</v>
          </cell>
          <cell r="B87" t="str">
            <v>VITES</v>
          </cell>
          <cell r="C87" t="str">
            <v>Colombo</v>
          </cell>
          <cell r="D87" t="str">
            <v>Rilascio APIVitaLegacyRealeItes</v>
          </cell>
          <cell r="E87" t="str">
            <v>VITES</v>
          </cell>
          <cell r="F87" t="str">
            <v>Azure Devops</v>
          </cell>
          <cell r="G87" t="str">
            <v>it.apiServiceLayer</v>
          </cell>
          <cell r="H87" t="str">
            <v>23.00</v>
          </cell>
          <cell r="I87" t="str">
            <v>aks</v>
          </cell>
          <cell r="M87" t="str">
            <v>https://dev.azure.com/realeitesorg/it.apiServiceLayer/_build?definitionId=1101</v>
          </cell>
          <cell r="AB87" t="str">
            <v>APIVitaLegacyRealeItes_EVOLUTIVA</v>
          </cell>
        </row>
        <row r="88">
          <cell r="A88" t="str">
            <v>APIVitaLegacyRealeItes_EVOLUTIVA</v>
          </cell>
          <cell r="B88" t="str">
            <v>VITES</v>
          </cell>
          <cell r="C88" t="str">
            <v>Colombo</v>
          </cell>
          <cell r="D88" t="str">
            <v>Rilascio APIvitalegacyrealeites</v>
          </cell>
          <cell r="E88" t="str">
            <v>VITES</v>
          </cell>
          <cell r="F88" t="str">
            <v>Azure Devops</v>
          </cell>
          <cell r="G88" t="str">
            <v>it.apiServiceLayer</v>
          </cell>
          <cell r="H88" t="str">
            <v>23.00</v>
          </cell>
          <cell r="I88" t="str">
            <v>aks</v>
          </cell>
          <cell r="J88"/>
          <cell r="K88"/>
          <cell r="L88"/>
          <cell r="M88" t="str">
            <v>https://dev.azure.com/realeitesorg/it.apiServiceLayer/_build?definitionId=1095</v>
          </cell>
          <cell r="AB88" t="str">
            <v>APIVitaRealeItes_CORRETTIVA</v>
          </cell>
        </row>
        <row r="89">
          <cell r="A89" t="str">
            <v>APIVitaRealeItes_CORRETTIVA</v>
          </cell>
          <cell r="B89" t="str">
            <v>API</v>
          </cell>
          <cell r="C89" t="str">
            <v>Colombo</v>
          </cell>
          <cell r="D89" t="str">
            <v>Rilascio APIVita RealeItes</v>
          </cell>
          <cell r="E89" t="str">
            <v>VITES</v>
          </cell>
          <cell r="F89" t="str">
            <v>Azure Devops</v>
          </cell>
          <cell r="G89" t="str">
            <v>it.apiServiceLayer</v>
          </cell>
          <cell r="H89" t="str">
            <v>23.00</v>
          </cell>
          <cell r="I89" t="str">
            <v>aks</v>
          </cell>
          <cell r="J89"/>
          <cell r="K89"/>
          <cell r="L89"/>
          <cell r="M89" t="str">
            <v>https://dev.azure.com/realeitesorg/it.apiServiceLayer/_build?definitionId=926&amp;_a=summary</v>
          </cell>
          <cell r="AB89" t="str">
            <v>APIVitaRealeltes_EVOLUTIVA</v>
          </cell>
        </row>
        <row r="90">
          <cell r="A90" t="str">
            <v>APIVitaRealeltes_EVOLUTIVA</v>
          </cell>
          <cell r="B90" t="str">
            <v>VITES</v>
          </cell>
          <cell r="C90" t="str">
            <v>Colombo</v>
          </cell>
          <cell r="D90" t="str">
            <v>Rilascio APIVita RealeItes</v>
          </cell>
          <cell r="E90" t="str">
            <v>VITES</v>
          </cell>
          <cell r="F90" t="str">
            <v>Azure Devops</v>
          </cell>
          <cell r="G90" t="str">
            <v>it.apiServiceLayer</v>
          </cell>
          <cell r="H90" t="str">
            <v>23.00</v>
          </cell>
          <cell r="I90" t="str">
            <v>aks</v>
          </cell>
          <cell r="J90"/>
          <cell r="K90"/>
          <cell r="L90"/>
          <cell r="M90" t="str">
            <v>https://dev.azure.com/realeitesorg/it.apiServiceLayer/_build?definitionId=923</v>
          </cell>
          <cell r="AB90" t="str">
            <v>APPOPCON</v>
          </cell>
        </row>
        <row r="91">
          <cell r="A91" t="str">
            <v>APPOPCON</v>
          </cell>
          <cell r="B91" t="str">
            <v>na</v>
          </cell>
          <cell r="C91" t="str">
            <v>Saladini</v>
          </cell>
          <cell r="D91" t="str">
            <v>Rilascio pacchetti Schedulazioni APP OPCON</v>
          </cell>
          <cell r="E91" t="str">
            <v>Schedulazione</v>
          </cell>
          <cell r="F91" t="str">
            <v>Ikan Alm</v>
          </cell>
          <cell r="G91" t="str">
            <v>APPOPCON</v>
          </cell>
          <cell r="H91" t="str">
            <v>dopo ok al rilascio</v>
          </cell>
          <cell r="I91" t="str">
            <v>Sched</v>
          </cell>
          <cell r="J91"/>
          <cell r="K91"/>
          <cell r="L91"/>
          <cell r="M91"/>
          <cell r="AB91" t="str">
            <v>AreaRiservataApp</v>
          </cell>
        </row>
        <row r="92">
          <cell r="A92" t="str">
            <v>AreaRiservataApp</v>
          </cell>
          <cell r="B92" t="str">
            <v>API</v>
          </cell>
          <cell r="C92" t="str">
            <v>Martino</v>
          </cell>
          <cell r="D92" t="str">
            <v>EvoluzioneSistemi Integrazione AreaRiservataApp</v>
          </cell>
          <cell r="E92" t="str">
            <v>BSA/BFF vari</v>
          </cell>
          <cell r="F92" t="str">
            <v>Azure Devops</v>
          </cell>
          <cell r="G92" t="str">
            <v>it.integration</v>
          </cell>
          <cell r="H92" t="str">
            <v>23.00</v>
          </cell>
          <cell r="I92" t="str">
            <v>aks</v>
          </cell>
          <cell r="J92"/>
          <cell r="K92"/>
          <cell r="L92"/>
          <cell r="M92"/>
          <cell r="AB92" t="str">
            <v>AutoE</v>
          </cell>
        </row>
        <row r="93">
          <cell r="A93" t="str">
            <v>AutoEmergenza_EVOLUTIVA</v>
          </cell>
          <cell r="B93" t="str">
            <v>MOTOR</v>
          </cell>
          <cell r="C93" t="str">
            <v>Treno Danni</v>
          </cell>
          <cell r="D93" t="str">
            <v>Rilascio pipeline AutoEmergenza</v>
          </cell>
          <cell r="E93" t="str">
            <v>AutoEmergenza</v>
          </cell>
          <cell r="F93" t="str">
            <v>Azure Devops</v>
          </cell>
          <cell r="G93" t="str">
            <v>it.motor</v>
          </cell>
          <cell r="H93" t="str">
            <v>20.00</v>
          </cell>
          <cell r="I93" t="str">
            <v>ear</v>
          </cell>
          <cell r="J93"/>
          <cell r="K93"/>
          <cell r="L93"/>
          <cell r="M93" t="str">
            <v>https://dev.azure.com/realeitesorg/it.motor/_build?definitionId=959</v>
          </cell>
          <cell r="AB93" t="str">
            <v>B_corr_evo_R02_icmriv</v>
          </cell>
        </row>
        <row r="94">
          <cell r="A94" t="str">
            <v>B_corr_evo_R02_icmriv</v>
          </cell>
          <cell r="B94" t="str">
            <v>ICM RIVALSE</v>
          </cell>
          <cell r="C94" t="str">
            <v>Vitiello</v>
          </cell>
          <cell r="D94" t="str">
            <v>Rilascio pacchetto ETL</v>
          </cell>
          <cell r="E94" t="str">
            <v>ETL - ICM Rivalse</v>
          </cell>
          <cell r="F94" t="str">
            <v>Ikan Alm</v>
          </cell>
          <cell r="G94" t="str">
            <v>ICMRivalse B_corr_evo-R02</v>
          </cell>
          <cell r="H94" t="str">
            <v>dopo ok al rilascio</v>
          </cell>
          <cell r="I94" t="str">
            <v>etl</v>
          </cell>
          <cell r="J94"/>
          <cell r="K94"/>
          <cell r="L94"/>
          <cell r="M94"/>
          <cell r="AB94" t="str">
            <v>B_correttiva_R01_7ESCOVI</v>
          </cell>
        </row>
        <row r="95">
          <cell r="A95" t="str">
            <v>B_correttiva_R01_7ESCOVI</v>
          </cell>
          <cell r="B95" t="str">
            <v>VIS</v>
          </cell>
          <cell r="C95" t="str">
            <v>Colombo</v>
          </cell>
          <cell r="D95" t="str">
            <v>Rilascio Estratto Conti Vita</v>
          </cell>
          <cell r="E95" t="str">
            <v>VIS</v>
          </cell>
          <cell r="F95" t="str">
            <v>Ikan Alm</v>
          </cell>
          <cell r="G95" t="str">
            <v>VITALNX_correttiva</v>
          </cell>
          <cell r="H95" t="str">
            <v>23.00</v>
          </cell>
          <cell r="I95" t="str">
            <v>ear</v>
          </cell>
          <cell r="J95"/>
          <cell r="K95"/>
          <cell r="L95"/>
          <cell r="M95"/>
          <cell r="AB95" t="str">
            <v>B_EDIWEB_FORMULE_</v>
          </cell>
        </row>
        <row r="96">
          <cell r="A96" t="str">
            <v>B_EDIWEB_FORMULE_</v>
          </cell>
          <cell r="B96" t="str">
            <v>VIS</v>
          </cell>
          <cell r="C96" t="str">
            <v>Colombo</v>
          </cell>
          <cell r="D96" t="str">
            <v>Rilascio EdiWeb Formule</v>
          </cell>
          <cell r="E96" t="str">
            <v>EdiWeb - Formule</v>
          </cell>
          <cell r="F96" t="str">
            <v>Ikan Alm</v>
          </cell>
          <cell r="G96" t="str">
            <v>EdiWeb_Formule</v>
          </cell>
          <cell r="H96" t="str">
            <v>23.00</v>
          </cell>
          <cell r="I96" t="str">
            <v>windows</v>
          </cell>
          <cell r="J96"/>
          <cell r="K96"/>
          <cell r="L96"/>
          <cell r="M96"/>
          <cell r="AB96" t="str">
            <v>B_EdiWeb_Upgrade__R01</v>
          </cell>
        </row>
        <row r="97">
          <cell r="A97" t="str">
            <v>B_EdiWeb_Upgrade__R01</v>
          </cell>
          <cell r="B97" t="str">
            <v>VIS</v>
          </cell>
          <cell r="C97" t="str">
            <v>Colombo</v>
          </cell>
          <cell r="D97" t="str">
            <v>Rilascio EdiWeb</v>
          </cell>
          <cell r="E97" t="str">
            <v>EdiWeb</v>
          </cell>
          <cell r="F97" t="str">
            <v>Ikan Alm</v>
          </cell>
          <cell r="G97" t="str">
            <v>EdiWeb_Upgrade</v>
          </cell>
          <cell r="H97" t="str">
            <v>23.00</v>
          </cell>
          <cell r="I97" t="str">
            <v>windows</v>
          </cell>
          <cell r="J97"/>
          <cell r="K97"/>
          <cell r="L97"/>
          <cell r="M97"/>
          <cell r="AB97" t="str">
            <v>BFFContabilitaRealeItes_CORRETTIVA</v>
          </cell>
        </row>
        <row r="98">
          <cell r="A98" t="str">
            <v>BFFContabilitaRealeItes_CORRETTIVA</v>
          </cell>
          <cell r="B98" t="str">
            <v>API</v>
          </cell>
          <cell r="C98" t="str">
            <v>Martino</v>
          </cell>
          <cell r="D98" t="str">
            <v>Rilascio BFFContabilitaRealeItes</v>
          </cell>
          <cell r="E98" t="str">
            <v>BSA/BFF vari</v>
          </cell>
          <cell r="F98" t="str">
            <v>Azure Devops</v>
          </cell>
          <cell r="G98" t="str">
            <v>it.apiServiceLayer</v>
          </cell>
          <cell r="H98" t="str">
            <v>23.00</v>
          </cell>
          <cell r="I98" t="str">
            <v>aks</v>
          </cell>
          <cell r="J98"/>
          <cell r="K98"/>
          <cell r="L98"/>
          <cell r="M98" t="str">
            <v>https://dev.azure.com/realeitesorg/it.apiServiceLayer/_build?definitionId=846</v>
          </cell>
          <cell r="AB98" t="str">
            <v>BFFContabilitaRealeItes_EVOLUTIVA</v>
          </cell>
        </row>
        <row r="99">
          <cell r="A99" t="str">
            <v>BFFContabilitaRealeItes_EVOLUTIVA</v>
          </cell>
          <cell r="B99" t="str">
            <v>API</v>
          </cell>
          <cell r="C99" t="str">
            <v>Martino</v>
          </cell>
          <cell r="D99" t="str">
            <v>Rilascio BFFContabilitaRealeItes</v>
          </cell>
          <cell r="E99" t="str">
            <v>BSA/BFF vari</v>
          </cell>
          <cell r="F99" t="str">
            <v>Azure Devops</v>
          </cell>
          <cell r="G99" t="str">
            <v>it.apiServiceLayer</v>
          </cell>
          <cell r="H99" t="str">
            <v>23.00</v>
          </cell>
          <cell r="I99" t="str">
            <v>aks</v>
          </cell>
          <cell r="J99"/>
          <cell r="K99"/>
          <cell r="L99"/>
          <cell r="M99" t="str">
            <v>https://dev.azure.com/realeitesorg/it.apiServiceLayer/_build?definitionId=844</v>
          </cell>
          <cell r="AB99" t="str">
            <v>BFFIsaacRealeItes_CORRETTIVA</v>
          </cell>
        </row>
        <row r="100">
          <cell r="A100" t="str">
            <v>BFFIsaacRealeItes_CORRETTIVA</v>
          </cell>
          <cell r="B100" t="str">
            <v>API</v>
          </cell>
          <cell r="C100" t="str">
            <v>Martino</v>
          </cell>
          <cell r="D100" t="str">
            <v>Rilascio BFFIsaacRealeItes</v>
          </cell>
          <cell r="E100" t="str">
            <v>BSA/BFF vari</v>
          </cell>
          <cell r="F100" t="str">
            <v>Azure Devops</v>
          </cell>
          <cell r="G100" t="str">
            <v>it.apiServiceLayer</v>
          </cell>
          <cell r="H100" t="str">
            <v>23.00</v>
          </cell>
          <cell r="I100" t="str">
            <v>aks</v>
          </cell>
          <cell r="M100" t="str">
            <v>https://dev.azure.com/realeitesorg/it.apiServiceLayer/_build?definitionId=1158</v>
          </cell>
          <cell r="AB100" t="str">
            <v>BFFSinistriRealeItes_CORRETTIVA</v>
          </cell>
        </row>
        <row r="101">
          <cell r="A101" t="str">
            <v>BFFSinistriRealeItes_CORRETTIVA</v>
          </cell>
          <cell r="B101" t="str">
            <v>API</v>
          </cell>
          <cell r="C101" t="str">
            <v>Martino</v>
          </cell>
          <cell r="D101" t="str">
            <v>Rilascio BFFSinistriRealeItes</v>
          </cell>
          <cell r="E101" t="str">
            <v>BSA/BFF vari</v>
          </cell>
          <cell r="F101" t="str">
            <v>Azure Devops</v>
          </cell>
          <cell r="G101" t="str">
            <v>it.apiServiceLayer</v>
          </cell>
          <cell r="H101" t="str">
            <v>23.00</v>
          </cell>
          <cell r="I101" t="str">
            <v>aks</v>
          </cell>
          <cell r="J101"/>
          <cell r="K101"/>
          <cell r="L101"/>
          <cell r="M101" t="str">
            <v>https://dev.azure.com/realeitesorg/it.apiServiceLayer/_build?definitionId=849</v>
          </cell>
          <cell r="AB101" t="str">
            <v>BFFSinistriRealeItes_EVOLUTIVA</v>
          </cell>
        </row>
        <row r="102">
          <cell r="A102" t="str">
            <v>BFFSinistriRealeItes_EVOLUTIVA</v>
          </cell>
          <cell r="B102" t="str">
            <v>API</v>
          </cell>
          <cell r="C102" t="str">
            <v>Martino</v>
          </cell>
          <cell r="D102" t="str">
            <v>Rilascio BFFSinistriRealeItes</v>
          </cell>
          <cell r="E102" t="str">
            <v>BSA/BFF vari</v>
          </cell>
          <cell r="F102" t="str">
            <v>Azure Devops</v>
          </cell>
          <cell r="G102" t="str">
            <v>it.apiServiceLayer</v>
          </cell>
          <cell r="H102" t="str">
            <v>23.00</v>
          </cell>
          <cell r="I102" t="str">
            <v>aks</v>
          </cell>
          <cell r="J102"/>
          <cell r="K102"/>
          <cell r="L102"/>
          <cell r="M102" t="str">
            <v>https://dev.azure.com/realeitesorg/it.apiServiceLayer/_build?definitionId=848</v>
          </cell>
          <cell r="AB102" t="str">
            <v>BFFTutelaLegaleRealeItes_CORRETTIVA</v>
          </cell>
        </row>
        <row r="103">
          <cell r="A103" t="str">
            <v>BFFTutelaLegaleRealeItes_CORRETTIVA</v>
          </cell>
          <cell r="B103" t="str">
            <v>API</v>
          </cell>
          <cell r="C103" t="str">
            <v>Martino</v>
          </cell>
          <cell r="D103" t="str">
            <v>Rilascio BFFTutelaLegaleRealeItes</v>
          </cell>
          <cell r="E103" t="str">
            <v>BSA/BFF vari</v>
          </cell>
          <cell r="F103" t="str">
            <v>Azure Devops</v>
          </cell>
          <cell r="G103" t="str">
            <v>it.apiServiceLayer</v>
          </cell>
          <cell r="H103" t="str">
            <v>23.00</v>
          </cell>
          <cell r="I103" t="str">
            <v>aks</v>
          </cell>
          <cell r="J103"/>
          <cell r="K103"/>
          <cell r="L103"/>
          <cell r="M103" t="str">
            <v>https://dev.azure.com/realeitesorg/it.apiServiceLayer/_build?definitionId=878</v>
          </cell>
          <cell r="AB103" t="str">
            <v>BFFTutelaLegaleRealeItes_EVOLUTIVA</v>
          </cell>
        </row>
        <row r="104">
          <cell r="A104" t="str">
            <v>BFFTutelaLegaleRealeItes_EVOLUTIVA</v>
          </cell>
          <cell r="B104" t="str">
            <v>API</v>
          </cell>
          <cell r="C104" t="str">
            <v>Martino</v>
          </cell>
          <cell r="D104" t="str">
            <v>Rilascio BFFTutelaLegaleRealeItes</v>
          </cell>
          <cell r="E104" t="str">
            <v>BSA/BFF vari</v>
          </cell>
          <cell r="F104" t="str">
            <v>Azure Devops</v>
          </cell>
          <cell r="G104" t="str">
            <v>it.apiServiceLayer</v>
          </cell>
          <cell r="H104" t="str">
            <v>23.00</v>
          </cell>
          <cell r="I104" t="str">
            <v>aks</v>
          </cell>
          <cell r="J104"/>
          <cell r="K104"/>
          <cell r="L104"/>
          <cell r="M104"/>
          <cell r="AB104" t="str">
            <v>blayer_CORRETTIVA</v>
          </cell>
        </row>
        <row r="105">
          <cell r="A105" t="str">
            <v>blayer_CORRETTIVA</v>
          </cell>
          <cell r="B105" t="str">
            <v>PASS MULTICANALITÀ</v>
          </cell>
          <cell r="C105" t="str">
            <v>Treno Danni</v>
          </cell>
          <cell r="D105" t="str">
            <v>Rilascio Multicanalità Blayer MCPBLAYER</v>
          </cell>
          <cell r="E105" t="str">
            <v>Multicanalità - Business Layer</v>
          </cell>
          <cell r="F105" t="str">
            <v>Azure Devops</v>
          </cell>
          <cell r="G105" t="str">
            <v>it.grma.rdna</v>
          </cell>
          <cell r="H105" t="str">
            <v>23.00</v>
          </cell>
          <cell r="I105" t="str">
            <v>ear</v>
          </cell>
          <cell r="J105"/>
          <cell r="K105"/>
          <cell r="L105"/>
          <cell r="M105" t="str">
            <v>https://dev.azure.com/realeitesorg/it.grma.rdna/_build?definitionId=2902</v>
          </cell>
          <cell r="AB105" t="str">
            <v>blayer_EVOLUTIVA</v>
          </cell>
        </row>
        <row r="106">
          <cell r="A106" t="str">
            <v>blayer_EVOLUTIVA</v>
          </cell>
          <cell r="B106" t="str">
            <v>PASS MULTICANALITÀ</v>
          </cell>
          <cell r="C106" t="str">
            <v>Treno Danni</v>
          </cell>
          <cell r="D106" t="str">
            <v>Rilascio Multicanalità Blayer MCPBLAYER</v>
          </cell>
          <cell r="E106" t="str">
            <v>Multicanalità - Business Layer</v>
          </cell>
          <cell r="F106" t="str">
            <v>Azure Devops</v>
          </cell>
          <cell r="G106" t="str">
            <v>it.grma.rdna</v>
          </cell>
          <cell r="H106" t="str">
            <v>23.00</v>
          </cell>
          <cell r="I106" t="str">
            <v>ear</v>
          </cell>
          <cell r="J106"/>
          <cell r="K106"/>
          <cell r="L106"/>
          <cell r="M106" t="str">
            <v>https://dev.azure.com/realeitesorg/it.grma.rdna/_build?definitionId=2901</v>
          </cell>
          <cell r="AB106" t="str">
            <v>CamelKafkaConnect</v>
          </cell>
        </row>
        <row r="107">
          <cell r="A107" t="str">
            <v>CamelKafkaConnect</v>
          </cell>
          <cell r="B107" t="str">
            <v>INTEGRAZIONE</v>
          </cell>
          <cell r="C107" t="str">
            <v>Martino</v>
          </cell>
          <cell r="D107" t="str">
            <v>Evoluzione Sistemi Integrazione CamelKafkaConnect</v>
          </cell>
          <cell r="E107" t="str">
            <v>Integrazione</v>
          </cell>
          <cell r="F107" t="str">
            <v>Azure Devops</v>
          </cell>
          <cell r="G107" t="str">
            <v>it.integration</v>
          </cell>
          <cell r="H107" t="str">
            <v>23.00</v>
          </cell>
          <cell r="I107" t="str">
            <v>aks</v>
          </cell>
          <cell r="J107"/>
          <cell r="K107"/>
          <cell r="L107"/>
          <cell r="M107"/>
          <cell r="AB107" t="str">
            <v>card2017_CORRETTIVA</v>
          </cell>
        </row>
        <row r="108">
          <cell r="A108" t="str">
            <v>card2017_CORRETTIVA</v>
          </cell>
          <cell r="B108" t="str">
            <v>SINISTRI WEB</v>
          </cell>
          <cell r="C108" t="str">
            <v>Treno Sinistri</v>
          </cell>
          <cell r="D108" t="str">
            <v>Rilascio Sinistri Web - CARD2017</v>
          </cell>
          <cell r="E108" t="str">
            <v>SinistriWeb - Batch</v>
          </cell>
          <cell r="F108" t="str">
            <v>Azure Devops</v>
          </cell>
          <cell r="G108" t="str">
            <v>it.grma.claims</v>
          </cell>
          <cell r="H108" t="str">
            <v>23.00</v>
          </cell>
          <cell r="I108" t="str">
            <v>ear</v>
          </cell>
          <cell r="J108"/>
          <cell r="K108"/>
          <cell r="L108"/>
          <cell r="M108" t="str">
            <v>https://dev.azure.com/realeitesorg/it.grma.claims/_build?definitionId=1937</v>
          </cell>
          <cell r="AB108" t="str">
            <v>card2017_EVOLUTIVA</v>
          </cell>
        </row>
        <row r="109">
          <cell r="A109" t="str">
            <v>card2017_EVOLUTIVA</v>
          </cell>
          <cell r="B109" t="str">
            <v>SINISTRI WEB</v>
          </cell>
          <cell r="C109" t="str">
            <v>Treno Sinistri</v>
          </cell>
          <cell r="D109" t="str">
            <v>Rilascio Sinistri Web - CARD2017</v>
          </cell>
          <cell r="E109" t="str">
            <v>SinistriWeb - Batch</v>
          </cell>
          <cell r="F109" t="str">
            <v>Azure Devops</v>
          </cell>
          <cell r="G109" t="str">
            <v>it.grma.claims</v>
          </cell>
          <cell r="H109" t="str">
            <v>23.00</v>
          </cell>
          <cell r="I109" t="str">
            <v>ear</v>
          </cell>
          <cell r="J109"/>
          <cell r="K109"/>
          <cell r="L109"/>
          <cell r="M109" t="str">
            <v>https://dev.azure.com/realeitesorg/it.grma.claims/_build?definitionId=1938</v>
          </cell>
          <cell r="AB109" t="str">
            <v>CE01OTX-evo</v>
          </cell>
        </row>
        <row r="110">
          <cell r="A110" t="str">
            <v>CE01OTX-evo</v>
          </cell>
          <cell r="B110" t="str">
            <v>SIGEA SINISTRI</v>
          </cell>
          <cell r="C110" t="str">
            <v>Treno Sinistri</v>
          </cell>
          <cell r="D110" t="str">
            <v>Rilascio tuxedo Sigea Sinistri CE01OTX</v>
          </cell>
          <cell r="E110" t="str">
            <v>SIGEA Sinistri</v>
          </cell>
          <cell r="F110" t="str">
            <v>Ikan Alm</v>
          </cell>
          <cell r="G110" t="str">
            <v>RELEASESIGE</v>
          </cell>
          <cell r="H110" t="str">
            <v>23.00</v>
          </cell>
          <cell r="I110" t="str">
            <v>tuxedo</v>
          </cell>
          <cell r="J110"/>
          <cell r="K110"/>
          <cell r="L110"/>
          <cell r="M110"/>
          <cell r="AB110" t="str">
            <v>ClienteApp_Deploy</v>
          </cell>
        </row>
        <row r="111">
          <cell r="A111" t="str">
            <v>ClienteApp_Deploy</v>
          </cell>
          <cell r="B111" t="str">
            <v>API</v>
          </cell>
          <cell r="C111" t="str">
            <v>Martino</v>
          </cell>
          <cell r="D111" t="str">
            <v>Rilascio ClienteApp</v>
          </cell>
          <cell r="E111" t="str">
            <v>BSA/BFF vari</v>
          </cell>
          <cell r="F111" t="str">
            <v>Azure Devops</v>
          </cell>
          <cell r="G111" t="str">
            <v>it.integration</v>
          </cell>
          <cell r="H111" t="str">
            <v>23.00</v>
          </cell>
          <cell r="I111" t="str">
            <v>aks</v>
          </cell>
          <cell r="J111"/>
          <cell r="K111"/>
          <cell r="L111"/>
          <cell r="M111" t="str">
            <v>https://dev.azure.com/realeitesorg/it.integration/_build?definitionId=4493</v>
          </cell>
          <cell r="AB111" t="str">
            <v>ConTe-CORR</v>
          </cell>
        </row>
        <row r="112">
          <cell r="A112" t="str">
            <v>ConTe-CORR</v>
          </cell>
          <cell r="B112" t="str">
            <v>ETL -CONTABILITÀ TECNICA</v>
          </cell>
          <cell r="C112" t="str">
            <v xml:space="preserve">Treno Amministrazione </v>
          </cell>
          <cell r="D112" t="str">
            <v>Rilascio pacchetto ETL</v>
          </cell>
          <cell r="E112" t="str">
            <v>ETL - Contabilità Tecnica</v>
          </cell>
          <cell r="F112" t="str">
            <v>Ikan Alm</v>
          </cell>
          <cell r="G112" t="str">
            <v>ConTeB_corr_evo-R02</v>
          </cell>
          <cell r="H112" t="str">
            <v>dopo ok al rilascio</v>
          </cell>
          <cell r="I112" t="str">
            <v>etl</v>
          </cell>
          <cell r="J112"/>
          <cell r="K112"/>
          <cell r="L112"/>
          <cell r="M112"/>
          <cell r="AB112" t="str">
            <v>ConTe-EVO</v>
          </cell>
        </row>
        <row r="113">
          <cell r="A113" t="str">
            <v>ConTe-EVO</v>
          </cell>
          <cell r="B113" t="str">
            <v>ETL -CONTABILITÀ TECNICA</v>
          </cell>
          <cell r="C113" t="str">
            <v xml:space="preserve">Treno Amministrazione </v>
          </cell>
          <cell r="D113" t="str">
            <v>Rilascio pacchetto ETL</v>
          </cell>
          <cell r="E113" t="str">
            <v>ETL - Contabilità Tecnica</v>
          </cell>
          <cell r="F113" t="str">
            <v>Ikan Alm</v>
          </cell>
          <cell r="G113" t="str">
            <v>ConTeB_corr_evo-R02</v>
          </cell>
          <cell r="H113" t="str">
            <v>dopo ok al rilascio</v>
          </cell>
          <cell r="I113" t="str">
            <v>etl</v>
          </cell>
          <cell r="J113"/>
          <cell r="K113"/>
          <cell r="L113"/>
          <cell r="M113"/>
          <cell r="AB113" t="str">
            <v>deploy.contabilita_7icmrivalse_CORRETTIVA</v>
          </cell>
        </row>
        <row r="114">
          <cell r="A114" t="str">
            <v>deploy.contabilita_7icmrivalse_CORRETTIVA</v>
          </cell>
          <cell r="B114" t="str">
            <v>ICM RIVALSE</v>
          </cell>
          <cell r="C114" t="str">
            <v>Vitiello</v>
          </cell>
          <cell r="D114" t="str">
            <v>Rilascio 7ICMRivalse</v>
          </cell>
          <cell r="E114" t="str">
            <v>ICM Rivalse</v>
          </cell>
          <cell r="F114" t="str">
            <v>Azure Devops</v>
          </cell>
          <cell r="G114" t="str">
            <v>it.ites.deploy.contabilità</v>
          </cell>
          <cell r="H114" t="str">
            <v>23.00</v>
          </cell>
          <cell r="I114" t="str">
            <v>ear</v>
          </cell>
          <cell r="J114"/>
          <cell r="K114"/>
          <cell r="L114"/>
          <cell r="M114" t="str">
            <v>https://dev.azure.com/realeitesorg/it.ites.deploy.contabilita/_build?definitionId=5143</v>
          </cell>
          <cell r="AB114" t="str">
            <v>deploy.contabilita_icmrivalseba1_CORRETTIVA</v>
          </cell>
        </row>
        <row r="115">
          <cell r="A115" t="str">
            <v>deploy.contabilita_icmrivalseba1_CORRETTIVA</v>
          </cell>
          <cell r="B115" t="str">
            <v>ICM RIVALSE</v>
          </cell>
          <cell r="C115" t="str">
            <v>Vitiello</v>
          </cell>
          <cell r="D115" t="str">
            <v>Rilascio ICMRivalse Batch ICMRIVALSEBA1</v>
          </cell>
          <cell r="E115" t="str">
            <v>ICM Rivalse - Batch</v>
          </cell>
          <cell r="F115" t="str">
            <v>Azure Devops</v>
          </cell>
          <cell r="G115" t="str">
            <v>it.ites.deploy.contabilità</v>
          </cell>
          <cell r="H115" t="str">
            <v>23.00</v>
          </cell>
          <cell r="I115" t="str">
            <v>ear</v>
          </cell>
          <cell r="J115"/>
          <cell r="K115"/>
          <cell r="L115"/>
          <cell r="M115" t="str">
            <v>https://dev.azure.com/realeitesorg/it.ites.deploy.contabilita/_build?definitionId=5144</v>
          </cell>
          <cell r="AB115" t="str">
            <v>deploy.contabilita_icmrivalseba3_CORRETTIVA</v>
          </cell>
        </row>
        <row r="116">
          <cell r="A116" t="str">
            <v>deploy.contabilita_icmrivalseba3_CORRETTIVA</v>
          </cell>
          <cell r="B116" t="str">
            <v>ICM RIVALSE</v>
          </cell>
          <cell r="C116" t="str">
            <v>Vitiello</v>
          </cell>
          <cell r="D116" t="str">
            <v>Rilascio ICMRivalse Batch ICMRIVALSEBA3</v>
          </cell>
          <cell r="E116" t="str">
            <v>ICM Rivalse - Batch</v>
          </cell>
          <cell r="F116" t="str">
            <v>Azure Devops</v>
          </cell>
          <cell r="G116" t="str">
            <v>it.ites.deploy.contabilità</v>
          </cell>
          <cell r="H116" t="str">
            <v>23.00</v>
          </cell>
          <cell r="I116" t="str">
            <v>ear</v>
          </cell>
          <cell r="J116"/>
          <cell r="K116"/>
          <cell r="L116"/>
          <cell r="M116" t="str">
            <v>https://dev.azure.com/realeitesorg/it.ites.deploy.contabilita/_build?definitionId=5145</v>
          </cell>
          <cell r="AB116" t="str">
            <v>deploy.contabilita_scorer1_EVOLUTIVA</v>
          </cell>
        </row>
        <row r="117">
          <cell r="A117" t="str">
            <v>deploy.contabilita_scorer1_EVOLUTIVA</v>
          </cell>
          <cell r="B117" t="str">
            <v>SCORER</v>
          </cell>
          <cell r="C117" t="str">
            <v>Vitiello</v>
          </cell>
          <cell r="D117" t="str">
            <v>Rilascio pacchetto SCORER1</v>
          </cell>
          <cell r="E117" t="str">
            <v>Scorer1</v>
          </cell>
          <cell r="F117" t="str">
            <v>Azure Devops</v>
          </cell>
          <cell r="G117" t="str">
            <v>it.ites.deploy.contabilità</v>
          </cell>
          <cell r="H117" t="str">
            <v>23.00</v>
          </cell>
          <cell r="I117" t="str">
            <v>ear</v>
          </cell>
          <cell r="J117"/>
          <cell r="K117"/>
          <cell r="L117"/>
          <cell r="M117" t="str">
            <v>https://dev.azure.com/realeitesorg/it.ites.deploy.contabilita/_build?definitionId=5148</v>
          </cell>
          <cell r="AB117" t="str">
            <v>deploy.contabilita_scorer3_CORRETTIVA</v>
          </cell>
        </row>
        <row r="118">
          <cell r="A118" t="str">
            <v>deploy.contabilita_scorer3_CORRETTIVA</v>
          </cell>
          <cell r="B118" t="str">
            <v>SCORER</v>
          </cell>
          <cell r="C118" t="str">
            <v>Vitiello</v>
          </cell>
          <cell r="D118" t="str">
            <v>Rilascio pacchetto SCORER3</v>
          </cell>
          <cell r="E118" t="str">
            <v>Scorer3</v>
          </cell>
          <cell r="F118" t="str">
            <v>Azure Devops</v>
          </cell>
          <cell r="G118" t="str">
            <v>it.ites.deploy.contabilità</v>
          </cell>
          <cell r="H118" t="str">
            <v>23.00</v>
          </cell>
          <cell r="I118" t="str">
            <v>ear</v>
          </cell>
          <cell r="J118"/>
          <cell r="K118"/>
          <cell r="L118"/>
          <cell r="M118" t="str">
            <v>https://dev.azure.com/realeitesorg/it.ites.deploy.contabilita/_build?definitionId=5146</v>
          </cell>
          <cell r="N118"/>
          <cell r="AB118" t="str">
            <v>deploy.contabilita_scorer3_EVOLUTIVA</v>
          </cell>
        </row>
        <row r="119">
          <cell r="A119" t="str">
            <v>deploy.contabilita_scorer3_EVOLUTIVA</v>
          </cell>
          <cell r="B119" t="str">
            <v>SCORER</v>
          </cell>
          <cell r="C119" t="str">
            <v>Vitiello</v>
          </cell>
          <cell r="D119" t="str">
            <v>Rilascio pacchetto SCORER3</v>
          </cell>
          <cell r="E119" t="str">
            <v>Scorer3</v>
          </cell>
          <cell r="F119" t="str">
            <v>Azure Devops</v>
          </cell>
          <cell r="G119" t="str">
            <v>it.ites.deploy.contabilità</v>
          </cell>
          <cell r="H119" t="str">
            <v>23.00</v>
          </cell>
          <cell r="I119" t="str">
            <v>ear</v>
          </cell>
          <cell r="J119"/>
          <cell r="K119"/>
          <cell r="L119"/>
          <cell r="M119" t="str">
            <v>https://dev.azure.com/realeitesorg/it.ites.deploy.contabilita/_build?definitionId=5147</v>
          </cell>
          <cell r="N119"/>
          <cell r="AB119" t="str">
            <v>deploy.DOCUMENTALE.eliminazionenonperfezionate_CORRETTIVA</v>
          </cell>
        </row>
        <row r="120">
          <cell r="A120" t="str">
            <v>deploy.DOCUMENTALE.eliminazionenonperfezionate_CORRETTIVA</v>
          </cell>
          <cell r="B120" t="str">
            <v>DOCUMENTALE PORTAFOGLIO</v>
          </cell>
          <cell r="C120" t="str">
            <v>Rocca</v>
          </cell>
          <cell r="D120" t="str">
            <v>Rilascio Portale Documentale PortafoglioEliminnonperf</v>
          </cell>
          <cell r="E120" t="str">
            <v>Portale Documentale Portafoglio - Batch</v>
          </cell>
          <cell r="F120" t="str">
            <v>Azure Devops</v>
          </cell>
          <cell r="G120" t="str">
            <v>it.ites.deploy.documentale</v>
          </cell>
          <cell r="H120" t="str">
            <v>23.00</v>
          </cell>
          <cell r="I120" t="str">
            <v>ear</v>
          </cell>
          <cell r="J120"/>
          <cell r="K120"/>
          <cell r="L120"/>
          <cell r="M120" t="str">
            <v>https://dev.azure.com/realeitesorg/it.ites.deploy.documentale/_build?definitionId=4777</v>
          </cell>
          <cell r="N120"/>
          <cell r="AB120" t="str">
            <v>deploy.DOCUMENTALE.eliminazionenonperfezionate_EVOLUTIVA</v>
          </cell>
        </row>
        <row r="121">
          <cell r="A121" t="str">
            <v>deploy.DOCUMENTALE.eliminazionenonperfezionate_EVOLUTIVA</v>
          </cell>
          <cell r="B121" t="str">
            <v>DOCUMENTALE PORTAFOGLIO</v>
          </cell>
          <cell r="C121" t="str">
            <v>Rocca</v>
          </cell>
          <cell r="D121" t="str">
            <v>Rilascio Portale Documentale PortafoglioEliminnonperf</v>
          </cell>
          <cell r="E121" t="str">
            <v>Portale Documentale Portafoglio - Batch</v>
          </cell>
          <cell r="F121" t="str">
            <v>Azure Devops</v>
          </cell>
          <cell r="G121" t="str">
            <v>it.ites.deploy.documentale</v>
          </cell>
          <cell r="H121" t="str">
            <v>23.00</v>
          </cell>
          <cell r="I121" t="str">
            <v>ear</v>
          </cell>
          <cell r="J121"/>
          <cell r="K121"/>
          <cell r="L121"/>
          <cell r="M121" t="str">
            <v>https://dev.azure.com/realeitesorg/it.ites.infra.deploy.documentale/_build?definitionId=4775</v>
          </cell>
          <cell r="AB121" t="str">
            <v>deploy.DOCUMENTALE.estrazionenonperfezionate_EVOLUTIVA</v>
          </cell>
        </row>
        <row r="122">
          <cell r="A122" t="str">
            <v>deploy.DOCUMENTALE.estrazionenonperfezionate_EVOLUTIVA</v>
          </cell>
          <cell r="B122" t="str">
            <v>DOCUMENTALE PORTAFOGLIO</v>
          </cell>
          <cell r="C122" t="str">
            <v>Rocca</v>
          </cell>
          <cell r="D122" t="str">
            <v>Rilascio Portale Documentale PortafoglioEstraznonperf</v>
          </cell>
          <cell r="E122" t="str">
            <v>Portale Documentale Portafoglio - Batch</v>
          </cell>
          <cell r="F122" t="str">
            <v>Azure Devops</v>
          </cell>
          <cell r="G122" t="str">
            <v>it.ites.deploy.documentale</v>
          </cell>
          <cell r="H122" t="str">
            <v>23.00</v>
          </cell>
          <cell r="I122" t="str">
            <v>ear</v>
          </cell>
          <cell r="J122"/>
          <cell r="K122"/>
          <cell r="L122"/>
          <cell r="M122" t="str">
            <v>https://dev.azure.com/realeitesorg/it.ites.infra.deploy.documentale/_build?definitionId=4776</v>
          </cell>
          <cell r="AB122" t="str">
            <v>deploy.DOCUMENTALE.notificahda_CORRETTIVA</v>
          </cell>
        </row>
        <row r="123">
          <cell r="A123" t="str">
            <v>deploy.DOCUMENTALE.notificahda_CORRETTIVA</v>
          </cell>
          <cell r="B123" t="str">
            <v>DOCUMENTALE PORTAFOGLIO</v>
          </cell>
          <cell r="C123" t="str">
            <v>Rocca</v>
          </cell>
          <cell r="D123" t="str">
            <v>Rilascio Portale Documentale Portafoglio NotificaHDA</v>
          </cell>
          <cell r="E123" t="str">
            <v>Portale Documentale Portafoglio - Batch</v>
          </cell>
          <cell r="F123" t="str">
            <v>Azure Devops</v>
          </cell>
          <cell r="G123" t="str">
            <v>it.ites.deploy.documentale</v>
          </cell>
          <cell r="H123" t="str">
            <v>23.00</v>
          </cell>
          <cell r="I123" t="str">
            <v>ear</v>
          </cell>
          <cell r="J123"/>
          <cell r="K123"/>
          <cell r="L123"/>
          <cell r="M123" t="str">
            <v>https://dev.azure.com/realeitesorg/it.ites.infra.deploy.documentale/_build?definitionId=4657</v>
          </cell>
          <cell r="AB123" t="str">
            <v>deploy.DOCUMENTALE.notificahda_EVOLUTIVA</v>
          </cell>
        </row>
        <row r="124">
          <cell r="A124" t="str">
            <v>deploy.DOCUMENTALE.notificahda_EVOLUTIVA</v>
          </cell>
          <cell r="B124" t="str">
            <v>DOCUMENTALE PORTAFOGLIO</v>
          </cell>
          <cell r="C124" t="str">
            <v>Rocca</v>
          </cell>
          <cell r="D124" t="str">
            <v>Rilascio Portale Documentale Portafoglio NotificaHDA</v>
          </cell>
          <cell r="E124" t="str">
            <v>Portale Documentale Portafoglio - Batch</v>
          </cell>
          <cell r="F124" t="str">
            <v>Azure Devops</v>
          </cell>
          <cell r="G124" t="str">
            <v>it.ites.deploy.documentale</v>
          </cell>
          <cell r="H124" t="str">
            <v>23.00</v>
          </cell>
          <cell r="I124" t="str">
            <v>ear</v>
          </cell>
          <cell r="J124"/>
          <cell r="K124"/>
          <cell r="L124"/>
          <cell r="M124" t="str">
            <v>https://dev.azure.com/realeitesorg/it.ites.infra.deploy.documentale/_build?definitionId=4654</v>
          </cell>
          <cell r="AB124" t="str">
            <v>deploy.documentale_8emc02a_CORRETTIVA</v>
          </cell>
        </row>
        <row r="125">
          <cell r="A125" t="str">
            <v>deploy.documentale_8emc02a_CORRETTIVA</v>
          </cell>
          <cell r="B125" t="str">
            <v>DOCUMENTALE SINISTRI</v>
          </cell>
          <cell r="C125" t="str">
            <v>Rocca</v>
          </cell>
          <cell r="D125" t="str">
            <v>Rilascio Portale DocumentaleSinistri 8EMC02A</v>
          </cell>
          <cell r="E125" t="str">
            <v>Portale Documentale Sinistri</v>
          </cell>
          <cell r="F125" t="str">
            <v>Azure Devops</v>
          </cell>
          <cell r="G125" t="str">
            <v>it.ites.deploy.documentale</v>
          </cell>
          <cell r="H125" t="str">
            <v>23.00</v>
          </cell>
          <cell r="I125" t="str">
            <v>ear</v>
          </cell>
          <cell r="J125"/>
          <cell r="K125"/>
          <cell r="L125"/>
          <cell r="M125" t="str">
            <v>https://dev.azure.com/realeitesorg/it.ites.deploy.documentale/_build?definitionId=5001</v>
          </cell>
          <cell r="AB125" t="str">
            <v>deploy.documentale_8emc02a_EVOLUTIVA</v>
          </cell>
        </row>
        <row r="126">
          <cell r="A126" t="str">
            <v>deploy.documentale_8emc02a_EVOLUTIVA</v>
          </cell>
          <cell r="B126" t="str">
            <v>DOCUMENTALE SINISTRI</v>
          </cell>
          <cell r="C126" t="str">
            <v>Rocca</v>
          </cell>
          <cell r="D126" t="str">
            <v>Rilascio Portale DocumentaleSinistri 8EMC02A</v>
          </cell>
          <cell r="E126" t="str">
            <v>Portale Documentale Sinistri</v>
          </cell>
          <cell r="F126" t="str">
            <v>Azure Devops</v>
          </cell>
          <cell r="G126" t="str">
            <v>it.ites.deploy.documentale</v>
          </cell>
          <cell r="H126" t="str">
            <v>23.00</v>
          </cell>
          <cell r="I126" t="str">
            <v>ear</v>
          </cell>
          <cell r="J126"/>
          <cell r="K126"/>
          <cell r="L126"/>
          <cell r="M126" t="str">
            <v>https://dev.azure.com/realeitesorg/it.ites.deploy.documentale/_build?definitionId=4998</v>
          </cell>
          <cell r="AB126" t="str">
            <v>deploy.documentale_8pdosws_CORRETTIVA</v>
          </cell>
        </row>
        <row r="127">
          <cell r="A127" t="str">
            <v>deploy.documentale_8pdosws_CORRETTIVA</v>
          </cell>
          <cell r="B127" t="str">
            <v>DOCUMENTALE SINISTRI</v>
          </cell>
          <cell r="C127" t="str">
            <v>Rocca</v>
          </cell>
          <cell r="D127" t="str">
            <v>Rilascio Portale DocumentaleSinistri 8PDOSWS</v>
          </cell>
          <cell r="E127" t="str">
            <v>Portale Documentale Sinistri</v>
          </cell>
          <cell r="F127" t="str">
            <v>Azure Devops</v>
          </cell>
          <cell r="G127" t="str">
            <v>it.ites.deploy.documentale</v>
          </cell>
          <cell r="H127" t="str">
            <v>23.00</v>
          </cell>
          <cell r="I127" t="str">
            <v>ear</v>
          </cell>
          <cell r="J127"/>
          <cell r="K127"/>
          <cell r="L127"/>
          <cell r="M127" t="str">
            <v>https://dev.azure.com/realeitesorg/it.ites.deploy.documentale/_build?definitionId=5002</v>
          </cell>
          <cell r="AB127" t="str">
            <v>deploy.MISCELLANEOUS_7abmon3_CORRETTIVA</v>
          </cell>
        </row>
        <row r="128">
          <cell r="A128" t="str">
            <v>deploy.MISCELLANEOUS_7abmon3_CORRETTIVA</v>
          </cell>
          <cell r="B128" t="str">
            <v>SIGEA AUTO</v>
          </cell>
          <cell r="C128" t="str">
            <v>Treno Danni</v>
          </cell>
          <cell r="D128" t="str">
            <v>Rilascio Affinity Batch Monitor</v>
          </cell>
          <cell r="E128" t="str">
            <v>Affinity Batch Monitor</v>
          </cell>
          <cell r="F128" t="str">
            <v>Azure Devops</v>
          </cell>
          <cell r="G128" t="str">
            <v>it.ites.deploy.MISCELLANEOUS</v>
          </cell>
          <cell r="H128" t="str">
            <v>23.00</v>
          </cell>
          <cell r="I128" t="str">
            <v>ear</v>
          </cell>
          <cell r="J128"/>
          <cell r="K128"/>
          <cell r="L128"/>
          <cell r="M128" t="str">
            <v>https://dev.azure.com/realeitesorg/it.ites.deploy.MISCELLANEOUS/_build?definitionId=4579</v>
          </cell>
          <cell r="AB128" t="str">
            <v>DeskBookingBackend_EVOLUTIVA</v>
          </cell>
        </row>
        <row r="129">
          <cell r="A129" t="str">
            <v>DeskBookingBackend_EVOLUTIVA</v>
          </cell>
          <cell r="B129" t="str">
            <v>API</v>
          </cell>
          <cell r="C129" t="str">
            <v>Martino</v>
          </cell>
          <cell r="D129" t="str">
            <v>Rilascio DeskBookingBackend</v>
          </cell>
          <cell r="E129" t="str">
            <v>Desk Booking</v>
          </cell>
          <cell r="F129" t="str">
            <v>Azure Devops</v>
          </cell>
          <cell r="G129" t="str">
            <v>it.miscellaneous</v>
          </cell>
          <cell r="H129" t="str">
            <v>23.00</v>
          </cell>
          <cell r="I129" t="str">
            <v>aks</v>
          </cell>
          <cell r="J129"/>
          <cell r="K129"/>
          <cell r="L129"/>
          <cell r="M129" t="str">
            <v>https://dev.azure.com/realeitesorg/it.miscellaneous/_build?definitionId=3241</v>
          </cell>
          <cell r="AB129" t="str">
            <v>DeskBookingFrontend_EVOLUTIVA</v>
          </cell>
        </row>
        <row r="130">
          <cell r="A130" t="str">
            <v>DeskBookingFrontend_EVOLUTIVA</v>
          </cell>
          <cell r="B130" t="str">
            <v>API</v>
          </cell>
          <cell r="C130" t="str">
            <v>Martino</v>
          </cell>
          <cell r="D130" t="str">
            <v>Rilascio DeskBookingFrontend</v>
          </cell>
          <cell r="E130" t="str">
            <v>Desk Booking</v>
          </cell>
          <cell r="F130" t="str">
            <v>Azure Devops</v>
          </cell>
          <cell r="G130" t="str">
            <v>it.miscellaneous</v>
          </cell>
          <cell r="H130" t="str">
            <v>23.00</v>
          </cell>
          <cell r="I130" t="str">
            <v>aks</v>
          </cell>
          <cell r="J130"/>
          <cell r="K130"/>
          <cell r="L130"/>
          <cell r="M130" t="str">
            <v>https://dev.azure.com/realeitesorg/it.miscellaneous/_build?definitionId=3240</v>
          </cell>
          <cell r="AB130" t="str">
            <v>DOCPPEVO</v>
          </cell>
        </row>
        <row r="131">
          <cell r="A131" t="str">
            <v>DOCPPEVO</v>
          </cell>
          <cell r="B131" t="str">
            <v>DOCUMENTALE PORTAFOGLIO</v>
          </cell>
          <cell r="C131" t="str">
            <v>Rocca</v>
          </cell>
          <cell r="D131" t="str">
            <v>RilascioEstrazione/Caricamento documenti DOCPPEVO</v>
          </cell>
          <cell r="E131" t="str">
            <v>Portale Documentale Portafoglio</v>
          </cell>
          <cell r="F131" t="str">
            <v>Ikan Alm</v>
          </cell>
          <cell r="G131" t="str">
            <v>DOCUMENTALEB_correttiva-R01</v>
          </cell>
          <cell r="H131" t="str">
            <v>23.00</v>
          </cell>
          <cell r="I131" t="str">
            <v>ear</v>
          </cell>
          <cell r="J131"/>
          <cell r="K131"/>
          <cell r="L131"/>
          <cell r="M131"/>
          <cell r="AB131" t="str">
            <v>documentum-portafoglio_CORRETTIVA</v>
          </cell>
        </row>
        <row r="132">
          <cell r="A132" t="str">
            <v>documentum-portafoglio_CORRETTIVA</v>
          </cell>
          <cell r="B132" t="str">
            <v>DOCUMENTALE PORTAFOGLIO</v>
          </cell>
          <cell r="C132" t="str">
            <v>Rocca</v>
          </cell>
          <cell r="D132" t="str">
            <v>Rilascio Portale Documentale Portafoglio</v>
          </cell>
          <cell r="E132" t="str">
            <v>Portale Documentale Portafoglio</v>
          </cell>
          <cell r="F132" t="str">
            <v>Azure Devops</v>
          </cell>
          <cell r="G132" t="str">
            <v>it.ites.deploy.documentale</v>
          </cell>
          <cell r="H132" t="str">
            <v>23.00</v>
          </cell>
          <cell r="I132" t="str">
            <v>ear</v>
          </cell>
          <cell r="J132"/>
          <cell r="K132"/>
          <cell r="L132"/>
          <cell r="M132" t="str">
            <v>https://dev.azure.com/realeitesorg/it.ites.infra.deploy.documentale/_build?definitionId=2172</v>
          </cell>
          <cell r="AB132" t="str">
            <v>documentum-portafoglio_EVOLUTIVA</v>
          </cell>
        </row>
        <row r="133">
          <cell r="A133" t="str">
            <v>documentum-portafoglio_EVOLUTIVA</v>
          </cell>
          <cell r="B133" t="str">
            <v>DOCUMENTALE PORTAFOGLIO</v>
          </cell>
          <cell r="C133" t="str">
            <v>Rocca</v>
          </cell>
          <cell r="D133" t="str">
            <v>Rilascio Portale Documentale Portafoglio</v>
          </cell>
          <cell r="E133" t="str">
            <v>Portale Documentale Portafoglio</v>
          </cell>
          <cell r="F133" t="str">
            <v>Azure Devops</v>
          </cell>
          <cell r="G133" t="str">
            <v>it.ites.deploy.documentale</v>
          </cell>
          <cell r="H133" t="str">
            <v>23.00</v>
          </cell>
          <cell r="I133" t="str">
            <v>ear</v>
          </cell>
          <cell r="J133"/>
          <cell r="K133"/>
          <cell r="L133"/>
          <cell r="M133" t="str">
            <v>https://dev.azure.com/realeitesorg/it.ites.infra.deploy.documentale/_build?definitionId=2174</v>
          </cell>
          <cell r="AB133" t="str">
            <v>documentum-sinistri_CORRETTIVA</v>
          </cell>
        </row>
        <row r="134">
          <cell r="A134" t="str">
            <v>documentum-sinistri_CORRETTIVA</v>
          </cell>
          <cell r="B134" t="str">
            <v>DOCUMENTALE PORTAFOGLIO</v>
          </cell>
          <cell r="C134" t="str">
            <v>Rocca</v>
          </cell>
          <cell r="D134" t="str">
            <v>Rilascio Portale Documentale Portafoglio</v>
          </cell>
          <cell r="E134" t="str">
            <v>Portale Documentale Portafoglio</v>
          </cell>
          <cell r="F134" t="str">
            <v>Azure Devops</v>
          </cell>
          <cell r="G134" t="str">
            <v>it.ites.deploy.documentale</v>
          </cell>
          <cell r="H134" t="str">
            <v>23.00</v>
          </cell>
          <cell r="I134" t="str">
            <v>ear</v>
          </cell>
          <cell r="J134"/>
          <cell r="K134"/>
          <cell r="L134"/>
          <cell r="M134" t="str">
            <v>https://dev.azure.com/realeitesorg/it.ites.infra.deploy.documentale/_build?definitionId=2173</v>
          </cell>
          <cell r="AB134" t="str">
            <v>documentum-sinistri_EVOLUTIVA</v>
          </cell>
        </row>
        <row r="135">
          <cell r="A135" t="str">
            <v>documentum-sinistri_EVOLUTIVA</v>
          </cell>
          <cell r="B135" t="str">
            <v>DOCUMENTALE SINISTRI</v>
          </cell>
          <cell r="C135" t="str">
            <v>Rocca</v>
          </cell>
          <cell r="D135" t="str">
            <v>Rilascio Portale DocumentaleSinistri</v>
          </cell>
          <cell r="E135" t="str">
            <v>Portale Documentale Sinistri</v>
          </cell>
          <cell r="F135" t="str">
            <v>Azure Devops</v>
          </cell>
          <cell r="G135" t="str">
            <v>it.ites.deploy.documentale</v>
          </cell>
          <cell r="H135" t="str">
            <v>23.00</v>
          </cell>
          <cell r="I135" t="str">
            <v>ear</v>
          </cell>
          <cell r="J135"/>
          <cell r="K135"/>
          <cell r="L135"/>
          <cell r="M135" t="str">
            <v>https://dev.azure.com/realeitesorg/it.ites.infra.deploy.documentale/_build?definitionId=2175</v>
          </cell>
          <cell r="AB135" t="str">
            <v>DQNTOTX-cor</v>
          </cell>
        </row>
        <row r="136">
          <cell r="A136" t="str">
            <v>DQNTOTX-cor</v>
          </cell>
          <cell r="B136" t="str">
            <v>SIGEA SINISTRI</v>
          </cell>
          <cell r="C136" t="str">
            <v>Treno Sinistri</v>
          </cell>
          <cell r="D136" t="str">
            <v>Rilascio tuxedoSigeaSinistri DQNT</v>
          </cell>
          <cell r="E136" t="str">
            <v>SIGEA Sinistri</v>
          </cell>
          <cell r="F136" t="str">
            <v>Ikan Alm</v>
          </cell>
          <cell r="G136" t="str">
            <v>DQNOTXB_correttiva-R01</v>
          </cell>
          <cell r="H136" t="str">
            <v>23.00</v>
          </cell>
          <cell r="I136" t="str">
            <v>tuxedo</v>
          </cell>
          <cell r="J136"/>
          <cell r="K136"/>
          <cell r="L136"/>
          <cell r="M136"/>
          <cell r="AB136" t="str">
            <v>DQNTOTX-evo</v>
          </cell>
        </row>
        <row r="137">
          <cell r="A137" t="str">
            <v>DQNTOTX-evo</v>
          </cell>
          <cell r="B137" t="str">
            <v>SIGEA SINISTRI</v>
          </cell>
          <cell r="C137" t="str">
            <v>Treno Sinistri</v>
          </cell>
          <cell r="D137" t="str">
            <v>Rilascio tuxedoSigeaSinistri DQNT</v>
          </cell>
          <cell r="E137" t="str">
            <v>SIGEA Sinistri</v>
          </cell>
          <cell r="F137" t="str">
            <v>Ikan Alm</v>
          </cell>
          <cell r="G137" t="str">
            <v>RELEASESIGE</v>
          </cell>
          <cell r="H137" t="str">
            <v>23.00</v>
          </cell>
          <cell r="I137" t="str">
            <v>tuxedo</v>
          </cell>
          <cell r="J137"/>
          <cell r="K137"/>
          <cell r="L137"/>
          <cell r="M137"/>
          <cell r="AB137" t="str">
            <v>DWSAP</v>
          </cell>
        </row>
        <row r="138">
          <cell r="A138" t="str">
            <v>DWSAP</v>
          </cell>
          <cell r="B138" t="str">
            <v>ETL - DW SAP</v>
          </cell>
          <cell r="C138" t="str">
            <v>Team ISAACJacobs-Catarinella</v>
          </cell>
          <cell r="D138" t="str">
            <v>Rilascio pacchetto ETL</v>
          </cell>
          <cell r="E138" t="str">
            <v>ETL - DW SAP</v>
          </cell>
          <cell r="F138" t="str">
            <v>Ikan Alm</v>
          </cell>
          <cell r="G138" t="str">
            <v>DWSAPB_corr_evo-R02</v>
          </cell>
          <cell r="H138" t="str">
            <v>dopo ok al rilascio</v>
          </cell>
          <cell r="I138" t="str">
            <v>etl</v>
          </cell>
          <cell r="J138"/>
          <cell r="K138"/>
          <cell r="L138"/>
          <cell r="M138"/>
          <cell r="AB138" t="str">
            <v>EAIAiaTargetIntegrator</v>
          </cell>
        </row>
        <row r="139">
          <cell r="A139" t="str">
            <v>EAIAiaTargetIntegrator</v>
          </cell>
          <cell r="B139" t="str">
            <v>INTEGRAZIONE</v>
          </cell>
          <cell r="C139" t="str">
            <v>Martino</v>
          </cell>
          <cell r="D139" t="str">
            <v>Evoluzione Sistemi Integrazione EAIAiaTargetIntegrator</v>
          </cell>
          <cell r="E139" t="str">
            <v>Integrazione</v>
          </cell>
          <cell r="F139" t="str">
            <v>Azure Devops</v>
          </cell>
          <cell r="G139" t="str">
            <v>it.integration</v>
          </cell>
          <cell r="H139" t="str">
            <v>23.00</v>
          </cell>
          <cell r="I139" t="str">
            <v>aks</v>
          </cell>
          <cell r="J139"/>
          <cell r="K139"/>
          <cell r="L139"/>
          <cell r="M139"/>
          <cell r="AB139" t="str">
            <v>eaiareariservatatargetintegrator</v>
          </cell>
        </row>
        <row r="140">
          <cell r="A140" t="str">
            <v>eaiareariservatatargetintegrator</v>
          </cell>
          <cell r="B140" t="str">
            <v>INTEGRAZIONE</v>
          </cell>
          <cell r="C140" t="str">
            <v>Martino</v>
          </cell>
          <cell r="D140" t="str">
            <v>Evoluzione Sistemi Integrazione Eaiareariservatatargetintegrator</v>
          </cell>
          <cell r="E140" t="str">
            <v>Integrazione</v>
          </cell>
          <cell r="F140" t="str">
            <v>Azure Devops</v>
          </cell>
          <cell r="G140" t="str">
            <v>it.integration</v>
          </cell>
          <cell r="H140" t="str">
            <v>23.00</v>
          </cell>
          <cell r="I140" t="str">
            <v>aks</v>
          </cell>
          <cell r="J140"/>
          <cell r="K140"/>
          <cell r="L140"/>
          <cell r="M140"/>
          <cell r="AB140" t="str">
            <v>eaibluetargetintegrator</v>
          </cell>
        </row>
        <row r="141">
          <cell r="A141" t="str">
            <v>eaibluetargetintegrator</v>
          </cell>
          <cell r="B141" t="str">
            <v>INTEGRAZIONE</v>
          </cell>
          <cell r="C141" t="str">
            <v>Martino</v>
          </cell>
          <cell r="D141" t="str">
            <v>Evoluzione Sistemi Integrazione Eaibluetargetintegrator</v>
          </cell>
          <cell r="E141" t="str">
            <v>Integrazione</v>
          </cell>
          <cell r="F141" t="str">
            <v>Azure Devops</v>
          </cell>
          <cell r="G141" t="str">
            <v>it.integration</v>
          </cell>
          <cell r="H141" t="str">
            <v>23.00</v>
          </cell>
          <cell r="I141" t="str">
            <v>aks</v>
          </cell>
          <cell r="J141"/>
          <cell r="K141"/>
          <cell r="L141"/>
          <cell r="M141"/>
          <cell r="AB141" t="str">
            <v>EAICNNTargetIntegrator</v>
          </cell>
        </row>
        <row r="142">
          <cell r="A142" t="str">
            <v>EAICNNTargetIntegrator</v>
          </cell>
          <cell r="B142" t="str">
            <v>INTEGRAZIONE</v>
          </cell>
          <cell r="C142" t="str">
            <v>Martino</v>
          </cell>
          <cell r="D142" t="str">
            <v>Evoluzione Sistemi Integrazione EAICNNTargetIntegrator</v>
          </cell>
          <cell r="E142" t="str">
            <v>Integrazione</v>
          </cell>
          <cell r="F142" t="str">
            <v>Azure Devops</v>
          </cell>
          <cell r="G142" t="str">
            <v>it.integration</v>
          </cell>
          <cell r="H142" t="str">
            <v>23.00</v>
          </cell>
          <cell r="I142" t="str">
            <v>aks</v>
          </cell>
          <cell r="J142"/>
          <cell r="K142"/>
          <cell r="L142"/>
          <cell r="M142"/>
          <cell r="AB142" t="str">
            <v>EAIConnectaTargetIntegrator</v>
          </cell>
        </row>
        <row r="143">
          <cell r="A143" t="str">
            <v>EAIConnectaTargetIntegrator</v>
          </cell>
          <cell r="B143" t="str">
            <v>INTEGRAZIONE</v>
          </cell>
          <cell r="C143" t="str">
            <v>Martino</v>
          </cell>
          <cell r="D143" t="str">
            <v>Evoluzione Sistemi Integrazione EAIConnectaTargetIntegrator</v>
          </cell>
          <cell r="E143" t="str">
            <v>Integrazione</v>
          </cell>
          <cell r="F143" t="str">
            <v>Azure Devops</v>
          </cell>
          <cell r="G143" t="str">
            <v>it.integration</v>
          </cell>
          <cell r="H143" t="str">
            <v>23.00</v>
          </cell>
          <cell r="I143" t="str">
            <v>aks</v>
          </cell>
          <cell r="J143"/>
          <cell r="K143"/>
          <cell r="L143"/>
          <cell r="M143"/>
          <cell r="AB143" t="str">
            <v>EAICrmTargetIntegrator</v>
          </cell>
        </row>
        <row r="144">
          <cell r="A144" t="str">
            <v>EAICrmTargetIntegrator</v>
          </cell>
          <cell r="B144" t="str">
            <v>INTEGRAZIONE</v>
          </cell>
          <cell r="C144" t="str">
            <v>Martino</v>
          </cell>
          <cell r="D144" t="str">
            <v>Evoluzione Sistemi Integrazione EAICrmTargetIntegrator </v>
          </cell>
          <cell r="E144" t="str">
            <v>Integrazione</v>
          </cell>
          <cell r="F144" t="str">
            <v>Azure Devops</v>
          </cell>
          <cell r="G144" t="str">
            <v>it.integration</v>
          </cell>
          <cell r="H144" t="str">
            <v>23.00</v>
          </cell>
          <cell r="I144" t="str">
            <v>aks</v>
          </cell>
          <cell r="J144"/>
          <cell r="K144"/>
          <cell r="L144"/>
          <cell r="M144"/>
          <cell r="AB144" t="str">
            <v>eaidigitalplatformtargetintegrator</v>
          </cell>
        </row>
        <row r="145">
          <cell r="A145" t="str">
            <v>eaidigitalplatformtargetintegrator</v>
          </cell>
          <cell r="B145" t="str">
            <v>INTEGRAZIONE</v>
          </cell>
          <cell r="C145" t="str">
            <v>Martino</v>
          </cell>
          <cell r="D145" t="str">
            <v>Evoluzione Sistemi Integrazione Eaidigitalplatformtargetintegrator</v>
          </cell>
          <cell r="E145" t="str">
            <v>Integrazione</v>
          </cell>
          <cell r="F145" t="str">
            <v>Azure Devops</v>
          </cell>
          <cell r="G145" t="str">
            <v>it.integration</v>
          </cell>
          <cell r="H145" t="str">
            <v>23.00</v>
          </cell>
          <cell r="I145" t="str">
            <v>aks</v>
          </cell>
          <cell r="J145"/>
          <cell r="K145"/>
          <cell r="L145"/>
          <cell r="M145"/>
          <cell r="AB145" t="str">
            <v>eaidocumentaletargetintegrator</v>
          </cell>
        </row>
        <row r="146">
          <cell r="A146" t="str">
            <v>eaidocumentaletargetintegrator</v>
          </cell>
          <cell r="B146" t="str">
            <v>INTEGRAZIONE</v>
          </cell>
          <cell r="C146" t="str">
            <v>Martino</v>
          </cell>
          <cell r="D146" t="str">
            <v>Evoluzione Sistemi Integrazione Eaidocumentaletargetintegrator</v>
          </cell>
          <cell r="E146" t="str">
            <v>Integrazione</v>
          </cell>
          <cell r="F146" t="str">
            <v>Azure Devops</v>
          </cell>
          <cell r="G146" t="str">
            <v>it.integration</v>
          </cell>
          <cell r="H146" t="str">
            <v>23.00</v>
          </cell>
          <cell r="I146" t="str">
            <v>aks</v>
          </cell>
          <cell r="J146"/>
          <cell r="K146"/>
          <cell r="L146"/>
          <cell r="M146"/>
          <cell r="AB146" t="str">
            <v>eaielastictargetintegrator</v>
          </cell>
        </row>
        <row r="147">
          <cell r="A147" t="str">
            <v>eaielastictargetintegrator</v>
          </cell>
          <cell r="B147" t="str">
            <v>INTEGRAZIONE</v>
          </cell>
          <cell r="C147" t="str">
            <v>Martino</v>
          </cell>
          <cell r="D147" t="str">
            <v>Evoluzione Sistemi Integrazione Eaielastictargetintegrator</v>
          </cell>
          <cell r="E147" t="str">
            <v>Integrazione</v>
          </cell>
          <cell r="F147" t="str">
            <v>Azure Devops</v>
          </cell>
          <cell r="G147" t="str">
            <v>it.integration</v>
          </cell>
          <cell r="H147" t="str">
            <v>23.00</v>
          </cell>
          <cell r="I147" t="str">
            <v>aks</v>
          </cell>
          <cell r="J147"/>
          <cell r="K147"/>
          <cell r="L147"/>
          <cell r="M147"/>
          <cell r="AB147" t="str">
            <v>eaifabriktargetintegrator</v>
          </cell>
        </row>
        <row r="148">
          <cell r="A148" t="str">
            <v>eaifabriktargetintegrator</v>
          </cell>
          <cell r="B148" t="str">
            <v>INTEGRAZIONE</v>
          </cell>
          <cell r="C148" t="str">
            <v>Martino</v>
          </cell>
          <cell r="D148" t="str">
            <v>Evoluzione Sistemi Integrazione Eaifabriktargetintegrator</v>
          </cell>
          <cell r="E148" t="str">
            <v>Integrazione</v>
          </cell>
          <cell r="F148" t="str">
            <v>Azure Devops</v>
          </cell>
          <cell r="G148" t="str">
            <v>it.integration</v>
          </cell>
          <cell r="H148" t="str">
            <v>23.00</v>
          </cell>
          <cell r="I148" t="str">
            <v>aks</v>
          </cell>
          <cell r="J148"/>
          <cell r="K148"/>
          <cell r="L148"/>
          <cell r="M148"/>
          <cell r="AB148" t="str">
            <v>eaigrandinetargetintegrator</v>
          </cell>
        </row>
        <row r="149">
          <cell r="A149" t="str">
            <v>eaigrandinetargetintegrator</v>
          </cell>
          <cell r="B149" t="str">
            <v>INTEGRAZIONE</v>
          </cell>
          <cell r="C149" t="str">
            <v>Martino</v>
          </cell>
          <cell r="D149" t="str">
            <v>Evoluzione Sistemi Integrazione Eaigrandinetargetintegrator</v>
          </cell>
          <cell r="E149" t="str">
            <v>Integrazione</v>
          </cell>
          <cell r="F149" t="str">
            <v>Azure Devops</v>
          </cell>
          <cell r="G149" t="str">
            <v>it.integration</v>
          </cell>
          <cell r="H149" t="str">
            <v>23.00</v>
          </cell>
          <cell r="I149" t="str">
            <v>aks</v>
          </cell>
          <cell r="J149"/>
          <cell r="K149"/>
          <cell r="L149"/>
          <cell r="M149"/>
          <cell r="AB149" t="str">
            <v>eailistodromotargetintegrator</v>
          </cell>
        </row>
        <row r="150">
          <cell r="A150" t="str">
            <v>eailistodromotargetintegrator</v>
          </cell>
          <cell r="B150" t="str">
            <v>INTEGRAZIONE</v>
          </cell>
          <cell r="C150" t="str">
            <v>Martino</v>
          </cell>
          <cell r="D150" t="str">
            <v>Evoluzione Sistemi Integrazione Eailistodromotargetintegrator</v>
          </cell>
          <cell r="E150" t="str">
            <v>Integrazione</v>
          </cell>
          <cell r="F150" t="str">
            <v>Azure Devops</v>
          </cell>
          <cell r="G150" t="str">
            <v>it.integration</v>
          </cell>
          <cell r="H150" t="str">
            <v>23.00</v>
          </cell>
          <cell r="I150" t="str">
            <v>aks</v>
          </cell>
          <cell r="J150"/>
          <cell r="K150"/>
          <cell r="L150"/>
          <cell r="M150"/>
          <cell r="AB150" t="str">
            <v>eaioinstargetintegrator</v>
          </cell>
        </row>
        <row r="151">
          <cell r="A151" t="str">
            <v>eaioinstargetintegrator</v>
          </cell>
          <cell r="B151" t="str">
            <v>INTEGRAZIONE</v>
          </cell>
          <cell r="C151" t="str">
            <v>Martino</v>
          </cell>
          <cell r="D151" t="str">
            <v>Evoluzione Sistemi Integrazione Eaioinstargetintegrator</v>
          </cell>
          <cell r="E151" t="str">
            <v>Integrazione</v>
          </cell>
          <cell r="F151" t="str">
            <v>Azure Devops</v>
          </cell>
          <cell r="G151" t="str">
            <v>it.integration</v>
          </cell>
          <cell r="H151" t="str">
            <v>23.00</v>
          </cell>
          <cell r="I151" t="str">
            <v>aks</v>
          </cell>
          <cell r="J151"/>
          <cell r="K151"/>
          <cell r="L151"/>
          <cell r="M151"/>
          <cell r="AB151" t="str">
            <v>eaipassautotargetintegrator</v>
          </cell>
        </row>
        <row r="152">
          <cell r="A152" t="str">
            <v>eaipassautotargetintegrator</v>
          </cell>
          <cell r="B152" t="str">
            <v>INTEGRAZIONE</v>
          </cell>
          <cell r="C152" t="str">
            <v>Martino</v>
          </cell>
          <cell r="D152" t="str">
            <v>Evoluzione Sistemi Integrazione Eaipassautotargetintegrator</v>
          </cell>
          <cell r="E152" t="str">
            <v>Integrazione</v>
          </cell>
          <cell r="F152" t="str">
            <v>Azure Devops</v>
          </cell>
          <cell r="G152" t="str">
            <v>it.integration</v>
          </cell>
          <cell r="H152" t="str">
            <v>23.00</v>
          </cell>
          <cell r="I152" t="str">
            <v>aks</v>
          </cell>
          <cell r="J152"/>
          <cell r="K152"/>
          <cell r="L152"/>
          <cell r="M152"/>
          <cell r="AB152" t="str">
            <v>EAIPassTargetIntegrator</v>
          </cell>
        </row>
        <row r="153">
          <cell r="A153" t="str">
            <v>EAIPassTargetIntegrator</v>
          </cell>
          <cell r="B153" t="str">
            <v>INTEGRAZIONE</v>
          </cell>
          <cell r="C153" t="str">
            <v>Martino</v>
          </cell>
          <cell r="D153" t="str">
            <v>Evoluzione Sistemi Integrazione EAIConnectaTargetIntegrator</v>
          </cell>
          <cell r="E153" t="str">
            <v>Integrazione</v>
          </cell>
          <cell r="F153" t="str">
            <v>Azure Devops</v>
          </cell>
          <cell r="G153" t="str">
            <v>it.integration</v>
          </cell>
          <cell r="H153" t="str">
            <v>23.00</v>
          </cell>
          <cell r="I153" t="str">
            <v>aks</v>
          </cell>
          <cell r="J153"/>
          <cell r="K153"/>
          <cell r="L153"/>
          <cell r="M153"/>
          <cell r="AB153" t="str">
            <v>EAIPegaTargetIntegrator</v>
          </cell>
        </row>
        <row r="154">
          <cell r="A154" t="str">
            <v>EAIPegaTargetIntegrator</v>
          </cell>
          <cell r="B154" t="str">
            <v>INTEGRAZIONE</v>
          </cell>
          <cell r="C154" t="str">
            <v>Martino</v>
          </cell>
          <cell r="D154" t="str">
            <v>Evoluzione Sistemi Integrazione EAIPegaTargetIntegrator</v>
          </cell>
          <cell r="E154" t="str">
            <v>Integrazione</v>
          </cell>
          <cell r="F154" t="str">
            <v>Azure Devops</v>
          </cell>
          <cell r="G154" t="str">
            <v>it.integration</v>
          </cell>
          <cell r="H154" t="str">
            <v>23.00</v>
          </cell>
          <cell r="I154" t="str">
            <v>aks</v>
          </cell>
          <cell r="J154"/>
          <cell r="K154"/>
          <cell r="L154"/>
          <cell r="M154"/>
          <cell r="AB154" t="str">
            <v>eaipoqtargetintegrator</v>
          </cell>
        </row>
        <row r="155">
          <cell r="A155" t="str">
            <v>eaipoqtargetintegrator</v>
          </cell>
          <cell r="B155" t="str">
            <v>INTEGRAZIONE</v>
          </cell>
          <cell r="C155" t="str">
            <v>Martino</v>
          </cell>
          <cell r="D155" t="str">
            <v>Evoluzione Sistemi Integrazione Eaipoqtargetintegrator</v>
          </cell>
          <cell r="E155" t="str">
            <v>Integrazione</v>
          </cell>
          <cell r="F155" t="str">
            <v>Azure Devops</v>
          </cell>
          <cell r="G155" t="str">
            <v>it.integration</v>
          </cell>
          <cell r="H155" t="str">
            <v>23.00</v>
          </cell>
          <cell r="I155" t="str">
            <v>aks</v>
          </cell>
          <cell r="J155"/>
          <cell r="K155"/>
          <cell r="L155"/>
          <cell r="M155"/>
          <cell r="AB155" t="str">
            <v>eaipositivtargetintegrator</v>
          </cell>
        </row>
        <row r="156">
          <cell r="A156" t="str">
            <v>eaipositivtargetintegrator</v>
          </cell>
          <cell r="B156" t="str">
            <v>INTEGRAZIONE</v>
          </cell>
          <cell r="C156" t="str">
            <v>Martino</v>
          </cell>
          <cell r="D156" t="str">
            <v>Evoluzione Sistemi Integrazione Eaipositivtargetintegrator</v>
          </cell>
          <cell r="E156" t="str">
            <v>Integrazione</v>
          </cell>
          <cell r="F156" t="str">
            <v>Azure Devops</v>
          </cell>
          <cell r="G156" t="str">
            <v>it.integration</v>
          </cell>
          <cell r="H156" t="str">
            <v>23.00</v>
          </cell>
          <cell r="I156" t="str">
            <v>aks</v>
          </cell>
          <cell r="J156"/>
          <cell r="K156"/>
          <cell r="L156"/>
          <cell r="M156"/>
          <cell r="AB156" t="str">
            <v>eaippevotargetintegrator</v>
          </cell>
        </row>
        <row r="157">
          <cell r="A157" t="str">
            <v>eaippevotargetintegrator</v>
          </cell>
          <cell r="B157" t="str">
            <v>INTEGRAZIONE</v>
          </cell>
          <cell r="C157" t="str">
            <v>Martino</v>
          </cell>
          <cell r="D157" t="str">
            <v>Evoluzione Sistemi Integrazione Eaippevotargetintegrator</v>
          </cell>
          <cell r="E157" t="str">
            <v>Integrazione</v>
          </cell>
          <cell r="F157" t="str">
            <v>Azure Devops</v>
          </cell>
          <cell r="G157" t="str">
            <v>it.integration</v>
          </cell>
          <cell r="H157" t="str">
            <v>23.00</v>
          </cell>
          <cell r="I157" t="str">
            <v>aks</v>
          </cell>
          <cell r="J157"/>
          <cell r="K157"/>
          <cell r="L157"/>
          <cell r="M157"/>
          <cell r="AB157" t="str">
            <v>eaisigeatargetintegrator</v>
          </cell>
        </row>
        <row r="158">
          <cell r="A158" t="str">
            <v>eaisigeatargetintegrator</v>
          </cell>
          <cell r="B158" t="str">
            <v>INTEGRAZIONE</v>
          </cell>
          <cell r="C158" t="str">
            <v>Martino</v>
          </cell>
          <cell r="D158" t="str">
            <v>Evoluzione Sistemi Integrazione Eaisigeatargetintegrator</v>
          </cell>
          <cell r="E158" t="str">
            <v>Integrazione</v>
          </cell>
          <cell r="F158" t="str">
            <v>Azure Devops</v>
          </cell>
          <cell r="G158" t="str">
            <v>it.integration</v>
          </cell>
          <cell r="H158" t="str">
            <v>23.00</v>
          </cell>
          <cell r="I158" t="str">
            <v>aks</v>
          </cell>
          <cell r="J158"/>
          <cell r="K158"/>
          <cell r="L158"/>
          <cell r="M158"/>
          <cell r="AB158" t="str">
            <v>eaistqdtargetintegrator</v>
          </cell>
        </row>
        <row r="159">
          <cell r="A159" t="str">
            <v>eaistqdtargetintegrator</v>
          </cell>
          <cell r="B159" t="str">
            <v>INTEGRAZIONE</v>
          </cell>
          <cell r="C159" t="str">
            <v>Martino</v>
          </cell>
          <cell r="D159" t="str">
            <v>Evoluzione Sistemi Integrazione Eaistqdtargetintegrator</v>
          </cell>
          <cell r="E159" t="str">
            <v>Integrazione</v>
          </cell>
          <cell r="F159" t="str">
            <v>Azure Devops</v>
          </cell>
          <cell r="G159" t="str">
            <v>it.integration</v>
          </cell>
          <cell r="H159" t="str">
            <v>23.00</v>
          </cell>
          <cell r="I159" t="str">
            <v>aks</v>
          </cell>
          <cell r="J159"/>
          <cell r="K159"/>
          <cell r="L159"/>
          <cell r="M159"/>
          <cell r="N159" t="str">
            <v>EIEeeventoconnectInsert</v>
          </cell>
          <cell r="AB159" t="str">
            <v>eaivistargetintegrator</v>
          </cell>
        </row>
        <row r="160">
          <cell r="A160" t="str">
            <v>eaivistargetintegrator</v>
          </cell>
          <cell r="B160" t="str">
            <v>INTEGRAZIONE</v>
          </cell>
          <cell r="C160" t="str">
            <v>Martino</v>
          </cell>
          <cell r="D160" t="str">
            <v>Evoluzione Sistemi Integrazione Eaivistargetintegrator</v>
          </cell>
          <cell r="E160" t="str">
            <v>Integrazione</v>
          </cell>
          <cell r="F160" t="str">
            <v>Azure Devops</v>
          </cell>
          <cell r="G160" t="str">
            <v>it.integration</v>
          </cell>
          <cell r="H160" t="str">
            <v>23.00</v>
          </cell>
          <cell r="I160" t="str">
            <v>aks</v>
          </cell>
          <cell r="J160"/>
          <cell r="K160"/>
          <cell r="L160"/>
          <cell r="M160"/>
          <cell r="AB160" t="str">
            <v>EIAPILettereSinistri</v>
          </cell>
        </row>
        <row r="161">
          <cell r="A161" t="str">
            <v>EIAPILettereSinistri</v>
          </cell>
          <cell r="B161" t="str">
            <v>INTEGRAZIONE</v>
          </cell>
          <cell r="C161" t="str">
            <v>Martino</v>
          </cell>
          <cell r="D161" t="str">
            <v>Evoluzione Sistemi Integrazione EIAPILettereSinistri</v>
          </cell>
          <cell r="E161" t="str">
            <v>Integrazione</v>
          </cell>
          <cell r="F161" t="str">
            <v>Azure Devops</v>
          </cell>
          <cell r="G161" t="str">
            <v>it.integration</v>
          </cell>
          <cell r="H161" t="str">
            <v>23.00</v>
          </cell>
          <cell r="I161" t="str">
            <v>aks</v>
          </cell>
          <cell r="J161"/>
          <cell r="K161"/>
          <cell r="L161"/>
          <cell r="M161"/>
          <cell r="AB161" t="str">
            <v>EICommonDelivery</v>
          </cell>
        </row>
        <row r="162">
          <cell r="A162" t="str">
            <v>EICommonDelivery</v>
          </cell>
          <cell r="B162" t="str">
            <v>INTEGRAZIONE</v>
          </cell>
          <cell r="C162" t="str">
            <v>Martino</v>
          </cell>
          <cell r="D162" t="str">
            <v>Evoluzione Sistemi Integrazione EIAPILettereSinistri</v>
          </cell>
          <cell r="E162" t="str">
            <v>Integrazione</v>
          </cell>
          <cell r="F162" t="str">
            <v>Azure Devops</v>
          </cell>
          <cell r="G162" t="str">
            <v>it.integration</v>
          </cell>
          <cell r="H162" t="str">
            <v>23.00</v>
          </cell>
          <cell r="I162" t="str">
            <v>aks</v>
          </cell>
          <cell r="J162"/>
          <cell r="K162"/>
          <cell r="L162"/>
          <cell r="M162"/>
          <cell r="AB162" t="str">
            <v>EIContabNumSistema</v>
          </cell>
        </row>
        <row r="163">
          <cell r="A163" t="str">
            <v>EIContabNumSistema</v>
          </cell>
          <cell r="B163" t="str">
            <v>INTEGRAZIONE</v>
          </cell>
          <cell r="C163" t="str">
            <v>Martino</v>
          </cell>
          <cell r="D163" t="str">
            <v>Evoluzione Sistemi Integrazione EIContabNumSistema</v>
          </cell>
          <cell r="E163" t="str">
            <v>Integrazione</v>
          </cell>
          <cell r="F163" t="str">
            <v>Azure Devops</v>
          </cell>
          <cell r="G163" t="str">
            <v>it.integration</v>
          </cell>
          <cell r="H163" t="str">
            <v>23.00</v>
          </cell>
          <cell r="I163" t="str">
            <v>aks</v>
          </cell>
          <cell r="J163"/>
          <cell r="K163"/>
          <cell r="L163"/>
          <cell r="M163"/>
          <cell r="AB163" t="str">
            <v>EIContabPolizVitaAIA</v>
          </cell>
        </row>
        <row r="164">
          <cell r="A164" t="str">
            <v>EIContabPolizVitaAIA</v>
          </cell>
          <cell r="B164" t="str">
            <v>INTEGRAZIONE</v>
          </cell>
          <cell r="C164" t="str">
            <v>Martino</v>
          </cell>
          <cell r="D164" t="str">
            <v>Evoluzione Sistemi Integrazione EIContabPolizVitaAIA</v>
          </cell>
          <cell r="E164" t="str">
            <v>Integrazione</v>
          </cell>
          <cell r="F164" t="str">
            <v>Azure Devops</v>
          </cell>
          <cell r="G164" t="str">
            <v>it.integration</v>
          </cell>
          <cell r="H164" t="str">
            <v>23.00</v>
          </cell>
          <cell r="I164" t="str">
            <v>aks</v>
          </cell>
          <cell r="J164"/>
          <cell r="K164"/>
          <cell r="L164"/>
          <cell r="M164"/>
          <cell r="AB164" t="str">
            <v>EIContabWrap</v>
          </cell>
        </row>
        <row r="165">
          <cell r="A165" t="str">
            <v>EIContabWrap</v>
          </cell>
          <cell r="B165" t="str">
            <v>INTEGRAZIONE</v>
          </cell>
          <cell r="C165" t="str">
            <v>Martino</v>
          </cell>
          <cell r="D165" t="str">
            <v>Evoluzione Sistemi Integrazione EIContabWrap</v>
          </cell>
          <cell r="E165" t="str">
            <v>Integrazione</v>
          </cell>
          <cell r="F165" t="str">
            <v>Azure Devops</v>
          </cell>
          <cell r="G165" t="str">
            <v>it.integration</v>
          </cell>
          <cell r="H165" t="str">
            <v>23.00</v>
          </cell>
          <cell r="I165" t="str">
            <v>aks</v>
          </cell>
          <cell r="J165"/>
          <cell r="K165"/>
          <cell r="L165"/>
          <cell r="M165"/>
          <cell r="N165" t="str">
            <v>EIContabWrap</v>
          </cell>
          <cell r="AB165" t="str">
            <v>EIEeeventoconnectInsert</v>
          </cell>
        </row>
        <row r="166">
          <cell r="A166" t="str">
            <v>EIEeeventoconnectInsert</v>
          </cell>
          <cell r="B166" t="str">
            <v>INTEGRAZIONE</v>
          </cell>
          <cell r="C166" t="str">
            <v>Martino</v>
          </cell>
          <cell r="D166" t="str">
            <v>Evoluzione Sistemi Integrazione EIEeeventoconnectInsert</v>
          </cell>
          <cell r="E166" t="str">
            <v>Integrazione</v>
          </cell>
          <cell r="F166" t="str">
            <v>Azure Devops</v>
          </cell>
          <cell r="G166" t="str">
            <v>it.integration</v>
          </cell>
          <cell r="H166" t="str">
            <v>23.00</v>
          </cell>
          <cell r="I166" t="str">
            <v>aks</v>
          </cell>
          <cell r="J166" t="str">
            <v>EIEeeventoconnectInsert</v>
          </cell>
          <cell r="K166" t="str">
            <v>EIEeeventoconnectInsert</v>
          </cell>
          <cell r="L166" t="str">
            <v>EIEeeventoconnectInsert</v>
          </cell>
          <cell r="M166"/>
          <cell r="N166" t="str">
            <v>EIEventoconnectInsert</v>
          </cell>
          <cell r="AB166" t="str">
            <v>EIEventoconnectInsert</v>
          </cell>
        </row>
        <row r="167">
          <cell r="A167" t="str">
            <v>EIEventoconnectInsert</v>
          </cell>
          <cell r="B167" t="str">
            <v>INTEGRAZIONE</v>
          </cell>
          <cell r="C167" t="str">
            <v>Martino</v>
          </cell>
          <cell r="D167" t="str">
            <v>Evoluzione Sistemi Integrazione EIEventoconnectInsert</v>
          </cell>
          <cell r="E167" t="str">
            <v>Integrazione</v>
          </cell>
          <cell r="F167" t="str">
            <v>Azure Devops</v>
          </cell>
          <cell r="G167" t="str">
            <v>it.integration</v>
          </cell>
          <cell r="H167" t="str">
            <v>23.00</v>
          </cell>
          <cell r="I167" t="str">
            <v>aks</v>
          </cell>
          <cell r="J167"/>
          <cell r="K167"/>
          <cell r="L167"/>
          <cell r="M167"/>
          <cell r="N167" t="str">
            <v>EIGianosWrap4D</v>
          </cell>
          <cell r="AB167" t="str">
            <v>EIGianosWrap4D</v>
          </cell>
        </row>
        <row r="168">
          <cell r="A168" t="str">
            <v>EIGianosWrap4D</v>
          </cell>
          <cell r="B168" t="str">
            <v>INTEGRAZIONE</v>
          </cell>
          <cell r="C168" t="str">
            <v>Martino</v>
          </cell>
          <cell r="D168" t="str">
            <v>Evoluzione Sistemi Integrazione EIGianosWrap4D</v>
          </cell>
          <cell r="E168" t="str">
            <v>Integrazione</v>
          </cell>
          <cell r="F168" t="str">
            <v>Azure Devops</v>
          </cell>
          <cell r="G168" t="str">
            <v>it.integration</v>
          </cell>
          <cell r="H168" t="str">
            <v>23.00</v>
          </cell>
          <cell r="I168" t="str">
            <v>aks</v>
          </cell>
          <cell r="J168"/>
          <cell r="K168"/>
          <cell r="L168"/>
          <cell r="M168"/>
          <cell r="N168" t="str">
            <v>EIPassMobileWrap</v>
          </cell>
          <cell r="AB168" t="str">
            <v>EIPASSAutoPub</v>
          </cell>
        </row>
        <row r="169">
          <cell r="A169" t="str">
            <v>EIPASSAutoPub</v>
          </cell>
          <cell r="B169" t="str">
            <v>INTEGRAZIONE</v>
          </cell>
          <cell r="C169" t="str">
            <v>Martino</v>
          </cell>
          <cell r="D169" t="str">
            <v>Evoluzione Sistemi Integrazione EIPASSAutoPub</v>
          </cell>
          <cell r="E169" t="str">
            <v>Integrazione</v>
          </cell>
          <cell r="F169" t="str">
            <v>Azure Devops</v>
          </cell>
          <cell r="G169" t="str">
            <v>it.integration</v>
          </cell>
          <cell r="H169" t="str">
            <v>23.00</v>
          </cell>
          <cell r="I169" t="str">
            <v>aks</v>
          </cell>
          <cell r="J169"/>
          <cell r="K169"/>
          <cell r="L169"/>
          <cell r="M169"/>
          <cell r="AB169" t="str">
            <v>EIPassMobileWrap</v>
          </cell>
        </row>
        <row r="170">
          <cell r="A170" t="str">
            <v>EIPassMobileWrap</v>
          </cell>
          <cell r="B170" t="str">
            <v>INTEGRAZIONE</v>
          </cell>
          <cell r="C170" t="str">
            <v>Martino</v>
          </cell>
          <cell r="D170" t="str">
            <v>Evoluzione Sistemi Integrazione EIPassMobileWrap</v>
          </cell>
          <cell r="E170" t="str">
            <v>Integrazione</v>
          </cell>
          <cell r="F170" t="str">
            <v>Azure Devops</v>
          </cell>
          <cell r="G170" t="str">
            <v>it.integration</v>
          </cell>
          <cell r="H170" t="str">
            <v>23.00</v>
          </cell>
          <cell r="I170" t="str">
            <v>aks</v>
          </cell>
          <cell r="J170"/>
          <cell r="K170"/>
          <cell r="L170"/>
          <cell r="M170"/>
          <cell r="AB170" t="str">
            <v>EIPpevo</v>
          </cell>
        </row>
        <row r="171">
          <cell r="A171" t="str">
            <v>EIPpevo</v>
          </cell>
          <cell r="B171" t="str">
            <v>INTEGRAZIONE</v>
          </cell>
          <cell r="C171" t="str">
            <v>Martino</v>
          </cell>
          <cell r="D171" t="str">
            <v>Evoluzione Sistemi Integrazione EIPpevo</v>
          </cell>
          <cell r="E171" t="str">
            <v>Integrazione</v>
          </cell>
          <cell r="F171" t="str">
            <v>Azure Devops</v>
          </cell>
          <cell r="G171" t="str">
            <v>it.integration</v>
          </cell>
          <cell r="H171" t="str">
            <v>23.00</v>
          </cell>
          <cell r="I171" t="str">
            <v>aks</v>
          </cell>
          <cell r="J171"/>
          <cell r="K171"/>
          <cell r="L171"/>
          <cell r="M171"/>
          <cell r="AB171" t="str">
            <v>FATTPA</v>
          </cell>
        </row>
        <row r="172">
          <cell r="A172" t="str">
            <v>FATTPA</v>
          </cell>
          <cell r="B172" t="str">
            <v>FATTURAZIONE ELETTRONICA PA</v>
          </cell>
          <cell r="C172" t="str">
            <v>Vitiello</v>
          </cell>
          <cell r="D172" t="str">
            <v>Rilascio FATTURAZIONE ELETTRONICA PA</v>
          </cell>
          <cell r="E172" t="str">
            <v>Fatturazione Elettronica PA</v>
          </cell>
          <cell r="F172" t="str">
            <v>Ikan Alm</v>
          </cell>
          <cell r="G172" t="str">
            <v>FATTPA_correttiva_R01</v>
          </cell>
          <cell r="H172" t="str">
            <v>23.00</v>
          </cell>
          <cell r="I172" t="str">
            <v>windows</v>
          </cell>
          <cell r="J172"/>
          <cell r="K172"/>
          <cell r="L172"/>
          <cell r="M172"/>
          <cell r="AB172" t="str">
            <v>FEAEDW-EVO</v>
          </cell>
        </row>
        <row r="173">
          <cell r="A173" t="str">
            <v>FEAEDW-EVO</v>
          </cell>
          <cell r="B173" t="str">
            <v>DOCUMENTALE PORTAFOGLIO</v>
          </cell>
          <cell r="C173" t="str">
            <v>Rocca</v>
          </cell>
          <cell r="D173" t="str">
            <v xml:space="preserve">Rilascio Portale Documentale Portafoglio batch FEAEDW </v>
          </cell>
          <cell r="E173" t="str">
            <v>Portale Documentale Portafoglio</v>
          </cell>
          <cell r="F173" t="str">
            <v>Ikan Alm</v>
          </cell>
          <cell r="G173" t="str">
            <v>DOCUMENTALE</v>
          </cell>
          <cell r="H173" t="str">
            <v>23.00</v>
          </cell>
          <cell r="I173" t="str">
            <v>ear</v>
          </cell>
          <cell r="J173"/>
          <cell r="K173"/>
          <cell r="L173"/>
          <cell r="M173"/>
          <cell r="AB173" t="str">
            <v>Firma_digitale</v>
          </cell>
        </row>
        <row r="174">
          <cell r="A174" t="str">
            <v>Firma_digitale</v>
          </cell>
          <cell r="B174" t="str">
            <v>FIRMA DIGITALE</v>
          </cell>
          <cell r="C174" t="str">
            <v>Rocca</v>
          </cell>
          <cell r="D174" t="str">
            <v>Rilascio Firma Digitale</v>
          </cell>
          <cell r="E174" t="str">
            <v>Firma Digitale</v>
          </cell>
          <cell r="F174" t="str">
            <v>Ikan Alm</v>
          </cell>
          <cell r="G174" t="str">
            <v>FIRMA DIGITALE</v>
          </cell>
          <cell r="H174" t="str">
            <v>23.00</v>
          </cell>
          <cell r="I174" t="str">
            <v>windows</v>
          </cell>
          <cell r="J174"/>
          <cell r="K174"/>
          <cell r="L174"/>
          <cell r="M174"/>
          <cell r="AB174" t="str">
            <v>FirmaApi</v>
          </cell>
        </row>
        <row r="175">
          <cell r="A175" t="str">
            <v>FirmaApi</v>
          </cell>
          <cell r="B175" t="str">
            <v>FIRMA DIGITALE</v>
          </cell>
          <cell r="C175" t="str">
            <v>Rocca</v>
          </cell>
          <cell r="D175" t="str">
            <v>Rilascio Firma Api</v>
          </cell>
          <cell r="E175" t="str">
            <v>Firma Api</v>
          </cell>
          <cell r="F175" t="str">
            <v>Ikan Alm</v>
          </cell>
          <cell r="G175" t="str">
            <v>FIRM API</v>
          </cell>
          <cell r="H175" t="str">
            <v>23.00</v>
          </cell>
          <cell r="I175" t="str">
            <v>windows</v>
          </cell>
          <cell r="J175"/>
          <cell r="K175"/>
          <cell r="L175"/>
          <cell r="M175"/>
          <cell r="AB175" t="str">
            <v>Firmaweb</v>
          </cell>
        </row>
        <row r="176">
          <cell r="A176" t="str">
            <v>Firmaweb</v>
          </cell>
          <cell r="B176" t="str">
            <v>FIRMA DIGITALE</v>
          </cell>
          <cell r="C176" t="str">
            <v>Rocca</v>
          </cell>
          <cell r="D176" t="str">
            <v>Rilascio Firma Web</v>
          </cell>
          <cell r="E176" t="str">
            <v>FirmaWeb</v>
          </cell>
          <cell r="F176" t="str">
            <v>Ikan Alm</v>
          </cell>
          <cell r="G176" t="str">
            <v>FIRMA Web</v>
          </cell>
          <cell r="H176" t="str">
            <v>23.00</v>
          </cell>
          <cell r="I176" t="str">
            <v>windows</v>
          </cell>
          <cell r="J176"/>
          <cell r="K176"/>
          <cell r="L176"/>
          <cell r="M176"/>
          <cell r="AB176" t="str">
            <v>FUNAZ1</v>
          </cell>
        </row>
        <row r="177">
          <cell r="A177" t="str">
            <v>FUNAZ1</v>
          </cell>
          <cell r="B177" t="str">
            <v>FUNZIONE AZIENDALE</v>
          </cell>
          <cell r="C177" t="str">
            <v>Colombo</v>
          </cell>
          <cell r="D177" t="str">
            <v>Rilascio Funzione Aziendale FUNAZ</v>
          </cell>
          <cell r="E177" t="str">
            <v>Funzione Aziendale</v>
          </cell>
          <cell r="F177" t="str">
            <v>Ikan Alm</v>
          </cell>
          <cell r="G177" t="str">
            <v>FUNAZ correttiva</v>
          </cell>
          <cell r="H177" t="str">
            <v>23.00</v>
          </cell>
          <cell r="I177" t="str">
            <v>windows</v>
          </cell>
          <cell r="J177"/>
          <cell r="K177"/>
          <cell r="L177"/>
          <cell r="M177"/>
          <cell r="AB177" t="str">
            <v>gestioneuoa_CORRETTIVA</v>
          </cell>
        </row>
        <row r="178">
          <cell r="A178" t="str">
            <v>gestioneuoa_CORRETTIVA</v>
          </cell>
          <cell r="B178" t="str">
            <v>SINISTRI WEB</v>
          </cell>
          <cell r="C178" t="str">
            <v>Treno Sinistri</v>
          </cell>
          <cell r="D178" t="str">
            <v>Rilascio Gestione Unità Organizzative</v>
          </cell>
          <cell r="E178" t="str">
            <v>Gestione UOA</v>
          </cell>
          <cell r="F178" t="str">
            <v>Azure Devops</v>
          </cell>
          <cell r="G178" t="str">
            <v>it.grma.claims</v>
          </cell>
          <cell r="H178" t="str">
            <v>23.00</v>
          </cell>
          <cell r="I178" t="str">
            <v>ear</v>
          </cell>
          <cell r="J178"/>
          <cell r="K178"/>
          <cell r="L178"/>
          <cell r="M178" t="str">
            <v>https://dev.azure.com/realeitesorg/it.grma.claims/_build?definitionId=1500</v>
          </cell>
          <cell r="AB178" t="str">
            <v>gestioneuoa_EVOLUTIVA</v>
          </cell>
        </row>
        <row r="179">
          <cell r="A179" t="str">
            <v>gestioneuoa_EVOLUTIVA</v>
          </cell>
          <cell r="B179" t="str">
            <v>SINISTRI WEB</v>
          </cell>
          <cell r="C179" t="str">
            <v>Treno Sinistri</v>
          </cell>
          <cell r="D179" t="str">
            <v>Rilascio Gestione Unità Organizzative</v>
          </cell>
          <cell r="E179" t="str">
            <v>Gestione UOA</v>
          </cell>
          <cell r="F179" t="str">
            <v>Azure Devops</v>
          </cell>
          <cell r="G179" t="str">
            <v>it.grma.claims</v>
          </cell>
          <cell r="H179" t="str">
            <v>23.00</v>
          </cell>
          <cell r="I179" t="str">
            <v>ear</v>
          </cell>
          <cell r="J179"/>
          <cell r="K179"/>
          <cell r="L179"/>
          <cell r="M179" t="str">
            <v>https://dev.azure.com/realeitesorg/it.grma.claims/_build?definitionId=1829</v>
          </cell>
          <cell r="AB179" t="str">
            <v>H_CP</v>
          </cell>
        </row>
        <row r="180">
          <cell r="A180" t="str">
            <v>H_CP</v>
          </cell>
          <cell r="B180" t="str">
            <v>DOCUMENTALE PORTAFOGLIO</v>
          </cell>
          <cell r="C180" t="str">
            <v>Rocca</v>
          </cell>
          <cell r="D180" t="str">
            <v>Rilascio Portale Documentale Portafoglio RIBALTADOC</v>
          </cell>
          <cell r="E180" t="str">
            <v>Portale Documentale Portafoglio</v>
          </cell>
          <cell r="F180" t="str">
            <v>Ikan Alm</v>
          </cell>
          <cell r="G180" t="str">
            <v>RIBALTADOC</v>
          </cell>
          <cell r="H180" t="str">
            <v>6.00</v>
          </cell>
          <cell r="I180" t="str">
            <v>copia_file</v>
          </cell>
          <cell r="J180"/>
          <cell r="K180"/>
          <cell r="L180"/>
          <cell r="M180"/>
          <cell r="AB180" t="str">
            <v>ICMRIV_CORR</v>
          </cell>
        </row>
        <row r="181">
          <cell r="A181" t="str">
            <v>ICMRIV_CORR</v>
          </cell>
          <cell r="B181" t="str">
            <v>ICM RIVALSE</v>
          </cell>
          <cell r="C181" t="str">
            <v>Vitiello</v>
          </cell>
          <cell r="D181" t="str">
            <v>Rilascio pacchetto ETL</v>
          </cell>
          <cell r="E181" t="str">
            <v>ETL - ICM Rivalse</v>
          </cell>
          <cell r="F181" t="str">
            <v>Ikan Alm</v>
          </cell>
          <cell r="G181" t="str">
            <v>B_corr_evo_R02_ICMRIV_CORR</v>
          </cell>
          <cell r="H181" t="str">
            <v>dopo ok al rilascio</v>
          </cell>
          <cell r="I181" t="str">
            <v>etl</v>
          </cell>
          <cell r="J181"/>
          <cell r="K181"/>
          <cell r="L181"/>
          <cell r="M181"/>
          <cell r="AB181" t="str">
            <v>infrastructure-kafka</v>
          </cell>
        </row>
        <row r="182">
          <cell r="A182" t="str">
            <v>infrastructure-kafka</v>
          </cell>
          <cell r="B182" t="str">
            <v>INTEGRAZIONE</v>
          </cell>
          <cell r="C182" t="str">
            <v>Martino</v>
          </cell>
          <cell r="D182" t="str">
            <v>Evoluzione Sistemi Integrazione infrastructure-kafka</v>
          </cell>
          <cell r="E182" t="str">
            <v>Integrazione</v>
          </cell>
          <cell r="F182" t="str">
            <v>Azure Devops</v>
          </cell>
          <cell r="G182" t="str">
            <v>it.integration</v>
          </cell>
          <cell r="H182" t="str">
            <v>dopo ok al rilascio</v>
          </cell>
          <cell r="I182" t="str">
            <v>aks</v>
          </cell>
          <cell r="J182"/>
          <cell r="K182"/>
          <cell r="L182"/>
          <cell r="M182" t="str">
            <v>https://dev.azure.com/realeitesorg/it.integration/_build?definitionId=3225</v>
          </cell>
          <cell r="AB182" t="str">
            <v>it.apiServiceLayer/APIVitaLegacyRealeltes_EVOLUTIVA</v>
          </cell>
        </row>
        <row r="183">
          <cell r="A183" t="str">
            <v>it.apiServiceLayer/APIVitaLegacyRealeltes_EVOLUTIVA</v>
          </cell>
          <cell r="B183" t="str">
            <v>API</v>
          </cell>
          <cell r="C183" t="str">
            <v>Colombo</v>
          </cell>
          <cell r="D183" t="str">
            <v>Rilascio APIvita LegacyRealeites</v>
          </cell>
          <cell r="E183" t="str">
            <v>VITES</v>
          </cell>
          <cell r="F183" t="str">
            <v>Azure Devops</v>
          </cell>
          <cell r="G183" t="str">
            <v>it.apiServiceLayer</v>
          </cell>
          <cell r="H183" t="str">
            <v>23.00</v>
          </cell>
          <cell r="I183" t="str">
            <v>aks</v>
          </cell>
          <cell r="J183"/>
          <cell r="K183"/>
          <cell r="L183"/>
          <cell r="M183" t="str">
            <v>https://dev.azure.com/realeitesorg/it.apiServiceLayer/_build?definitionId=1095</v>
          </cell>
          <cell r="AB183" t="str">
            <v>it.grma.claims.Pperiti_CORRETTIVA</v>
          </cell>
        </row>
        <row r="184">
          <cell r="A184" t="str">
            <v>it.grma.claims.Pperiti_CORRETTIVA</v>
          </cell>
          <cell r="B184" t="str">
            <v>PORTALE COLLABORATORI</v>
          </cell>
          <cell r="C184" t="str">
            <v>Treno Sinistri</v>
          </cell>
          <cell r="D184" t="str">
            <v>Rilascio Portale Collaboratori FrontEnd /Middleware</v>
          </cell>
          <cell r="E184" t="str">
            <v>Portale Collaboratori - FE/Mid</v>
          </cell>
          <cell r="F184" t="str">
            <v>Azure Devops</v>
          </cell>
          <cell r="G184" t="str">
            <v>it.grma.claims</v>
          </cell>
          <cell r="H184" t="str">
            <v>6.00-Dopo portcoll</v>
          </cell>
          <cell r="I184" t="str">
            <v>ear</v>
          </cell>
          <cell r="J184"/>
          <cell r="K184"/>
          <cell r="L184"/>
          <cell r="M184"/>
          <cell r="AB184" t="str">
            <v>it.grma.claims.PPeriti_EVOLUTIVA</v>
          </cell>
        </row>
        <row r="185">
          <cell r="A185" t="str">
            <v>it.grma.claims.PPeriti_EVOLUTIVA</v>
          </cell>
          <cell r="B185" t="str">
            <v>PORTALE COLLABORATORI</v>
          </cell>
          <cell r="C185" t="str">
            <v>Treno Sinistri</v>
          </cell>
          <cell r="D185" t="str">
            <v>Rilascio Portale Collaboratori FrontEnd /Middleware</v>
          </cell>
          <cell r="E185" t="str">
            <v>Portale Collaboratori - FE/Mid</v>
          </cell>
          <cell r="F185" t="str">
            <v>Azure Devops</v>
          </cell>
          <cell r="G185" t="str">
            <v>it.grma.claims</v>
          </cell>
          <cell r="H185" t="str">
            <v>6.00-Dopo portcoll</v>
          </cell>
          <cell r="I185" t="str">
            <v>ear</v>
          </cell>
          <cell r="J185"/>
          <cell r="K185"/>
          <cell r="L185"/>
          <cell r="M185" t="str">
            <v>https://dev.azure.com/realeitesorg/it.grma.claims/_build?definitionId=1340</v>
          </cell>
          <cell r="AB185" t="str">
            <v>it.grma.rdna.omnia-core.preprod</v>
          </cell>
        </row>
        <row r="186">
          <cell r="A186" t="str">
            <v>it.grma.rdna.omnia-core.preprod</v>
          </cell>
          <cell r="B186" t="str">
            <v>OMNIAINSURANCE</v>
          </cell>
          <cell r="C186" t="str">
            <v>Treno Danni</v>
          </cell>
          <cell r="D186" t="str">
            <v>Rilascio grandine GNR01A preprod</v>
          </cell>
          <cell r="E186" t="str">
            <v>Omniainsurance</v>
          </cell>
          <cell r="F186" t="str">
            <v>Azure Devops</v>
          </cell>
          <cell r="G186" t="str">
            <v>it.grma.rdna</v>
          </cell>
          <cell r="H186" t="str">
            <v>solo preprod</v>
          </cell>
          <cell r="I186" t="str">
            <v>ear</v>
          </cell>
          <cell r="J186"/>
          <cell r="K186"/>
          <cell r="L186"/>
          <cell r="M186" t="str">
            <v>https://dev.azure.com/realeitesorg/it.grma.rdna/_build?definitionId=2102</v>
          </cell>
          <cell r="AB186" t="str">
            <v>it.grma.rdna.omnia-core.prod</v>
          </cell>
        </row>
        <row r="187">
          <cell r="A187" t="str">
            <v>it.grma.rdna.omnia-core.prod</v>
          </cell>
          <cell r="B187" t="str">
            <v>OMNIAINSURANCE</v>
          </cell>
          <cell r="C187" t="str">
            <v>Treno Danni</v>
          </cell>
          <cell r="D187" t="str">
            <v>Rilascio grandine GNR01A</v>
          </cell>
          <cell r="E187" t="str">
            <v>Omniainsurance</v>
          </cell>
          <cell r="F187" t="str">
            <v>Azure Devops</v>
          </cell>
          <cell r="G187" t="str">
            <v>it.grma.rdna</v>
          </cell>
          <cell r="H187" t="str">
            <v>23.00</v>
          </cell>
          <cell r="I187" t="str">
            <v>ear</v>
          </cell>
          <cell r="J187"/>
          <cell r="K187"/>
          <cell r="L187"/>
          <cell r="M187" t="str">
            <v>https://dev.azure.com/realeitesorg/it.grma.rdna/_build?definitionId=2103</v>
          </cell>
          <cell r="AB187" t="str">
            <v>it.grma.web.pni2cloud.middlewarenew</v>
          </cell>
        </row>
        <row r="188">
          <cell r="A188" t="str">
            <v>it.grma.web.pni2cloud.middlewarenew</v>
          </cell>
          <cell r="B188" t="str">
            <v>SITI ISTITUZIONALI</v>
          </cell>
          <cell r="C188" t="str">
            <v>Team Digital-Chetta</v>
          </cell>
          <cell r="D188" t="str">
            <v>Rilascio pipeline middelwarenew</v>
          </cell>
          <cell r="E188" t="str">
            <v>Siti Istituzionali</v>
          </cell>
          <cell r="F188" t="str">
            <v>Azure Devops</v>
          </cell>
          <cell r="G188" t="str">
            <v>it.grma.web</v>
          </cell>
          <cell r="H188" t="str">
            <v>23.00</v>
          </cell>
          <cell r="I188" t="str">
            <v>ubuntu</v>
          </cell>
          <cell r="J188"/>
          <cell r="K188"/>
          <cell r="L188"/>
          <cell r="M188" t="str">
            <v>https://dev.azure.com/realeitesorg/it.grma.web/_build?definitionId=795</v>
          </cell>
          <cell r="AB188" t="str">
            <v>it.grma.web.pni2cloud.portaleweb</v>
          </cell>
        </row>
        <row r="189">
          <cell r="A189" t="str">
            <v>it.grma.web.pni2cloud.portaleweb</v>
          </cell>
          <cell r="B189" t="str">
            <v>SITI ISTITUZIONALI</v>
          </cell>
          <cell r="C189" t="str">
            <v>Team Digital-Chetta</v>
          </cell>
          <cell r="D189" t="str">
            <v>Rilascio pipeline portale web</v>
          </cell>
          <cell r="E189" t="str">
            <v>Siti Istituzionali</v>
          </cell>
          <cell r="F189" t="str">
            <v>Azure Devops</v>
          </cell>
          <cell r="G189" t="str">
            <v>it.grma.web</v>
          </cell>
          <cell r="H189" t="str">
            <v>23.00</v>
          </cell>
          <cell r="I189" t="str">
            <v>ubuntu</v>
          </cell>
          <cell r="J189"/>
          <cell r="K189"/>
          <cell r="L189"/>
          <cell r="M189" t="str">
            <v>https://dev.azure.com/realeitesorg/it.grma.web/_build?definitionId=832</v>
          </cell>
          <cell r="AB189" t="str">
            <v>it.integration.PosizioneAssicurativaApp_Deploy</v>
          </cell>
        </row>
        <row r="190">
          <cell r="A190" t="str">
            <v>it.integration.IsaacService</v>
          </cell>
          <cell r="B190" t="str">
            <v>API</v>
          </cell>
          <cell r="C190" t="str">
            <v>Martino</v>
          </cell>
          <cell r="D190" t="str">
            <v>Rilascio it.integration.IsaacService</v>
          </cell>
          <cell r="E190" t="str">
            <v>Integrazione</v>
          </cell>
          <cell r="F190" t="str">
            <v>Azure Devops</v>
          </cell>
          <cell r="G190" t="str">
            <v>it.integration</v>
          </cell>
          <cell r="H190" t="str">
            <v>23.00</v>
          </cell>
          <cell r="I190" t="str">
            <v>aks</v>
          </cell>
          <cell r="J190"/>
          <cell r="K190"/>
          <cell r="L190"/>
          <cell r="M190"/>
          <cell r="AB190" t="str">
            <v xml:space="preserve">it.integration.VirtualAgentCampaign_Deploy </v>
          </cell>
        </row>
        <row r="191">
          <cell r="A191" t="str">
            <v>it.integration.NotificheApp</v>
          </cell>
          <cell r="B191" t="str">
            <v>API</v>
          </cell>
          <cell r="C191" t="str">
            <v>Martino</v>
          </cell>
          <cell r="D191" t="str">
            <v>Rilascio it.integration.NotificheApp</v>
          </cell>
          <cell r="E191" t="str">
            <v>Integrazione</v>
          </cell>
          <cell r="F191" t="str">
            <v>Azure Devops</v>
          </cell>
          <cell r="G191" t="str">
            <v>it.integration</v>
          </cell>
          <cell r="H191" t="str">
            <v>23.00</v>
          </cell>
          <cell r="I191" t="str">
            <v>aks</v>
          </cell>
          <cell r="J191"/>
          <cell r="K191"/>
          <cell r="L191"/>
          <cell r="M191"/>
          <cell r="AB191" t="str">
            <v>JA01S</v>
          </cell>
        </row>
        <row r="192">
          <cell r="A192" t="str">
            <v>it.integration.PosizioneAssicurativaApp_Deploy</v>
          </cell>
          <cell r="B192" t="str">
            <v>API</v>
          </cell>
          <cell r="C192" t="str">
            <v>Martino</v>
          </cell>
          <cell r="D192" t="str">
            <v>Rilascio it.integration.Posizione Assicurativa</v>
          </cell>
          <cell r="E192" t="str">
            <v>BSA/BFF vari</v>
          </cell>
          <cell r="F192" t="str">
            <v>Azure Devops</v>
          </cell>
          <cell r="G192" t="str">
            <v>it.integration</v>
          </cell>
          <cell r="H192" t="str">
            <v>23.00</v>
          </cell>
          <cell r="I192" t="str">
            <v>aks</v>
          </cell>
          <cell r="M192" t="str">
            <v>https://dev.azure.com/realeitesorg/it.integration/_build?definitionId=4556</v>
          </cell>
          <cell r="AB192" t="str">
            <v>JA01UNIX</v>
          </cell>
        </row>
        <row r="193">
          <cell r="A193" t="str">
            <v xml:space="preserve">it.integration.VirtualAgentCampaign_Deploy </v>
          </cell>
          <cell r="B193" t="str">
            <v>API</v>
          </cell>
          <cell r="C193" t="str">
            <v>Martino</v>
          </cell>
          <cell r="D193" t="str">
            <v xml:space="preserve">Rilascio VirtualAgentCampaign </v>
          </cell>
          <cell r="E193" t="str">
            <v>BSA/BFF vari</v>
          </cell>
          <cell r="F193" t="str">
            <v>Azure Devops</v>
          </cell>
          <cell r="G193" t="str">
            <v>it.integration</v>
          </cell>
          <cell r="H193" t="str">
            <v>23.00</v>
          </cell>
          <cell r="I193" t="str">
            <v>aks</v>
          </cell>
          <cell r="J193"/>
          <cell r="K193"/>
          <cell r="L193"/>
          <cell r="M193" t="str">
            <v>https://dev.azure.com/realeitesorg/it.integration/_build?definitionId=4575</v>
          </cell>
          <cell r="AB193" t="str">
            <v>JA01VIT</v>
          </cell>
        </row>
        <row r="194">
          <cell r="A194" t="str">
            <v>it.miscellaneous.TargetMarket_Deploy</v>
          </cell>
          <cell r="B194" t="str">
            <v>API</v>
          </cell>
          <cell r="C194" t="str">
            <v>Martino</v>
          </cell>
          <cell r="D194" t="str">
            <v>Rilascio TargetMarket</v>
          </cell>
          <cell r="E194" t="str">
            <v>TargetMarket</v>
          </cell>
          <cell r="F194" t="str">
            <v>Azure Devops</v>
          </cell>
          <cell r="G194" t="str">
            <v>it.miscellaneous</v>
          </cell>
          <cell r="H194" t="str">
            <v>23.00</v>
          </cell>
          <cell r="I194" t="str">
            <v>aks</v>
          </cell>
          <cell r="J194"/>
          <cell r="K194"/>
          <cell r="L194"/>
          <cell r="M194" t="str">
            <v>https://dev.azure.com/realeitesorg/it.miscellaneous/_build?definitionId=4161</v>
          </cell>
          <cell r="AB194" t="str">
            <v>JA0S</v>
          </cell>
        </row>
        <row r="195">
          <cell r="A195" t="str">
            <v>JA01S</v>
          </cell>
          <cell r="B195" t="str">
            <v>SIGEA SINISTRI</v>
          </cell>
          <cell r="C195" t="str">
            <v>Treno Sinistri</v>
          </cell>
          <cell r="D195" t="str">
            <v>Rilascio JCL Sigea</v>
          </cell>
          <cell r="E195" t="str">
            <v>JCLSIGEA</v>
          </cell>
          <cell r="F195" t="str">
            <v>Ikan Alm</v>
          </cell>
          <cell r="G195" t="str">
            <v>JA01SIGEB_correttiva-R0</v>
          </cell>
          <cell r="H195" t="str">
            <v>dopo ok al rilascio</v>
          </cell>
          <cell r="I195" t="str">
            <v>jcl</v>
          </cell>
          <cell r="J195"/>
          <cell r="K195"/>
          <cell r="L195"/>
          <cell r="M195"/>
          <cell r="AB195" t="str">
            <v>JaggaerToSapAdapter</v>
          </cell>
        </row>
        <row r="196">
          <cell r="A196" t="str">
            <v>JA01UNIX</v>
          </cell>
          <cell r="B196"/>
          <cell r="C196" t="str">
            <v>Saladini</v>
          </cell>
          <cell r="D196" t="str">
            <v>Rilascio pacchetto JA01UNIX</v>
          </cell>
          <cell r="E196" t="str">
            <v>JA01UNIX</v>
          </cell>
          <cell r="F196" t="str">
            <v>Ikan Alm</v>
          </cell>
          <cell r="G196" t="str">
            <v>JA01UnixB_correttiva-R01</v>
          </cell>
          <cell r="H196" t="str">
            <v>dopo ok al rilascio</v>
          </cell>
          <cell r="I196" t="str">
            <v>jcl</v>
          </cell>
          <cell r="J196"/>
          <cell r="K196"/>
          <cell r="L196"/>
          <cell r="M196"/>
          <cell r="AB196" t="str">
            <v>JCAPS</v>
          </cell>
        </row>
        <row r="197">
          <cell r="A197" t="str">
            <v>JA01VIT</v>
          </cell>
          <cell r="B197" t="str">
            <v>VIS</v>
          </cell>
          <cell r="C197" t="str">
            <v>Colombo</v>
          </cell>
          <cell r="D197" t="str">
            <v>Rilascio JCL Vita</v>
          </cell>
          <cell r="E197" t="str">
            <v>VIS</v>
          </cell>
          <cell r="F197" t="str">
            <v>Ikan Alm</v>
          </cell>
          <cell r="G197" t="str">
            <v>JA01VITAB_correttiva-R01B_EURO</v>
          </cell>
          <cell r="H197" t="str">
            <v>dopo ok al rilascio</v>
          </cell>
          <cell r="I197" t="str">
            <v>jcl</v>
          </cell>
          <cell r="J197"/>
          <cell r="K197"/>
          <cell r="L197"/>
          <cell r="M197"/>
          <cell r="AB197" t="str">
            <v>JCAPS-delgat</v>
          </cell>
        </row>
        <row r="198">
          <cell r="A198" t="str">
            <v>JA0S</v>
          </cell>
          <cell r="B198"/>
          <cell r="C198"/>
          <cell r="D198" t="str">
            <v>Rilascio JCL Sigea</v>
          </cell>
          <cell r="E198" t="str">
            <v>JCLSIGEA</v>
          </cell>
          <cell r="F198" t="str">
            <v>Ikan Alm</v>
          </cell>
          <cell r="G198"/>
          <cell r="H198"/>
          <cell r="I198"/>
          <cell r="J198"/>
          <cell r="K198"/>
          <cell r="L198"/>
          <cell r="M198"/>
          <cell r="AB198" t="str">
            <v>JCAPS-main</v>
          </cell>
        </row>
        <row r="199">
          <cell r="A199" t="str">
            <v>JaggaerToSapAdapter</v>
          </cell>
          <cell r="B199" t="str">
            <v>INTEGRAZIONE</v>
          </cell>
          <cell r="C199" t="str">
            <v>Martino</v>
          </cell>
          <cell r="D199" t="str">
            <v>Evoluzione Sistemi Integrazione JaggaerToSapAdapter</v>
          </cell>
          <cell r="E199" t="str">
            <v>Integrazione</v>
          </cell>
          <cell r="F199" t="str">
            <v>Azure Devops</v>
          </cell>
          <cell r="G199" t="str">
            <v>it.integration</v>
          </cell>
          <cell r="H199" t="str">
            <v>23.00</v>
          </cell>
          <cell r="I199" t="str">
            <v>aks</v>
          </cell>
          <cell r="J199"/>
          <cell r="K199"/>
          <cell r="L199"/>
          <cell r="M199"/>
          <cell r="AB199" t="str">
            <v>JCAPS-sinistri</v>
          </cell>
        </row>
        <row r="200">
          <cell r="A200" t="str">
            <v>JCAPS</v>
          </cell>
          <cell r="B200" t="str">
            <v>INTEGRAZIONE</v>
          </cell>
          <cell r="C200" t="str">
            <v>Martino</v>
          </cell>
          <cell r="D200" t="str">
            <v>Evoluzione Sistemi Integrazione JCAPS wrapper</v>
          </cell>
          <cell r="E200" t="str">
            <v>Integrazione</v>
          </cell>
          <cell r="F200" t="str">
            <v>Azure Devops</v>
          </cell>
          <cell r="G200" t="str">
            <v>it.integration</v>
          </cell>
          <cell r="H200" t="str">
            <v>23.00</v>
          </cell>
          <cell r="I200" t="str">
            <v>aks</v>
          </cell>
          <cell r="J200"/>
          <cell r="K200"/>
          <cell r="L200"/>
          <cell r="M200"/>
          <cell r="AB200" t="str">
            <v>JESTWEB_IIS_correttiva_R01</v>
          </cell>
        </row>
        <row r="201">
          <cell r="A201" t="str">
            <v>JCAPS-delgat</v>
          </cell>
          <cell r="B201" t="str">
            <v>INTEGRAZIONE</v>
          </cell>
          <cell r="C201" t="str">
            <v>Martino</v>
          </cell>
          <cell r="D201" t="str">
            <v>Evoluzione Sistemi Integrazione JCAPS-delgat</v>
          </cell>
          <cell r="E201" t="str">
            <v>Integrazione</v>
          </cell>
          <cell r="F201" t="str">
            <v>Azure Devops</v>
          </cell>
          <cell r="G201" t="str">
            <v>it.integration</v>
          </cell>
          <cell r="H201" t="str">
            <v>23.00</v>
          </cell>
          <cell r="I201" t="str">
            <v>aks</v>
          </cell>
          <cell r="J201"/>
          <cell r="K201"/>
          <cell r="L201"/>
          <cell r="M201"/>
          <cell r="AB201" t="str">
            <v>LMUPDashboard_Deploy</v>
          </cell>
        </row>
        <row r="202">
          <cell r="A202" t="str">
            <v>JCAPS-main</v>
          </cell>
          <cell r="B202" t="str">
            <v>INTEGRAZIONE</v>
          </cell>
          <cell r="C202" t="str">
            <v>Martino</v>
          </cell>
          <cell r="D202" t="str">
            <v>Evoluzione Sistemi Integrazione JCAPS-main</v>
          </cell>
          <cell r="E202" t="str">
            <v>Integrazione</v>
          </cell>
          <cell r="F202" t="str">
            <v>Azure Devops</v>
          </cell>
          <cell r="G202" t="str">
            <v>it.integration</v>
          </cell>
          <cell r="H202" t="str">
            <v>23.00</v>
          </cell>
          <cell r="I202" t="str">
            <v>aks</v>
          </cell>
          <cell r="J202"/>
          <cell r="K202"/>
          <cell r="L202"/>
          <cell r="M202"/>
          <cell r="AB202" t="str">
            <v>MailRouting_Deploy</v>
          </cell>
        </row>
        <row r="203">
          <cell r="A203" t="str">
            <v>JCAPS-sinistri</v>
          </cell>
          <cell r="B203" t="str">
            <v>INTEGRAZIONE</v>
          </cell>
          <cell r="C203" t="str">
            <v>Martino</v>
          </cell>
          <cell r="D203" t="str">
            <v>Evoluzione Sistemi Integrazione JCAPS-sinistri</v>
          </cell>
          <cell r="E203" t="str">
            <v>Integrazione</v>
          </cell>
          <cell r="F203" t="str">
            <v>Azure Devops</v>
          </cell>
          <cell r="G203" t="str">
            <v>it.integration</v>
          </cell>
          <cell r="H203" t="str">
            <v>23.00</v>
          </cell>
          <cell r="I203" t="str">
            <v>aks</v>
          </cell>
          <cell r="J203"/>
          <cell r="K203"/>
          <cell r="L203"/>
          <cell r="M203"/>
          <cell r="AB203" t="str">
            <v>mobile_CORRETTIVA</v>
          </cell>
        </row>
        <row r="204">
          <cell r="A204" t="str">
            <v>JESTWEB_IIS_correttiva_R01</v>
          </cell>
          <cell r="B204" t="str">
            <v>JESTWEB</v>
          </cell>
          <cell r="C204" t="str">
            <v>Treno Sinistri</v>
          </cell>
          <cell r="D204" t="str">
            <v>Rilascio pacchetto JESTWEB_IIS_correttiva_R01</v>
          </cell>
          <cell r="E204" t="str">
            <v>Carrozzerie - JestWeb</v>
          </cell>
          <cell r="F204" t="str">
            <v>Ikan Alm</v>
          </cell>
          <cell r="G204" t="str">
            <v>JESTWEB_IIS B_correttiva-R01</v>
          </cell>
          <cell r="H204" t="str">
            <v>23.00</v>
          </cell>
          <cell r="I204" t="str">
            <v>windows</v>
          </cell>
          <cell r="AB204" t="str">
            <v>mobile_EVOLUTIVA</v>
          </cell>
        </row>
        <row r="205">
          <cell r="A205" t="str">
            <v>LMUPDashboard_Deploy</v>
          </cell>
          <cell r="B205" t="str">
            <v>MOTOR</v>
          </cell>
          <cell r="C205" t="str">
            <v>Treno Danni</v>
          </cell>
          <cell r="D205" t="str">
            <v>Rilascio LMUPD Libro Matricola UpLoad</v>
          </cell>
          <cell r="E205" t="str">
            <v>LMUP</v>
          </cell>
          <cell r="F205" t="str">
            <v>Azure Devops</v>
          </cell>
          <cell r="G205" t="str">
            <v>it.motor</v>
          </cell>
          <cell r="H205" t="str">
            <v>23.00</v>
          </cell>
          <cell r="I205" t="str">
            <v>aks</v>
          </cell>
          <cell r="J205"/>
          <cell r="K205"/>
          <cell r="L205"/>
          <cell r="M205"/>
          <cell r="AB205" t="str">
            <v>pasau_CORRETTIVA</v>
          </cell>
        </row>
        <row r="206">
          <cell r="A206" t="str">
            <v>MailRouting_Deploy</v>
          </cell>
          <cell r="B206" t="str">
            <v>API</v>
          </cell>
          <cell r="C206" t="str">
            <v>Martino</v>
          </cell>
          <cell r="D206" t="str">
            <v>Rilascio it.integration MailRouting_Deploy</v>
          </cell>
          <cell r="E206" t="str">
            <v>Integrazione</v>
          </cell>
          <cell r="F206" t="str">
            <v>Azure Devops</v>
          </cell>
          <cell r="G206" t="str">
            <v>it.integration</v>
          </cell>
          <cell r="H206" t="str">
            <v>23.00</v>
          </cell>
          <cell r="I206" t="str">
            <v>aks</v>
          </cell>
          <cell r="J206"/>
          <cell r="K206"/>
          <cell r="L206"/>
          <cell r="M206" t="str">
            <v>https://dev.azure.com/realeitesorg/it.integration/_build?definitionId=4550</v>
          </cell>
          <cell r="AB206" t="str">
            <v>pasau_EVOLUTIVA_DEPLOY</v>
          </cell>
        </row>
        <row r="207">
          <cell r="A207" t="str">
            <v>mobile_CORRETTIVA</v>
          </cell>
          <cell r="B207" t="str">
            <v>PASS MULTICANALITÀ</v>
          </cell>
          <cell r="C207" t="str">
            <v>Treno Danni</v>
          </cell>
          <cell r="D207" t="str">
            <v>Rilascio Multicanalità Mobile MCPMOB</v>
          </cell>
          <cell r="E207" t="str">
            <v>Multicanalità - Mobile</v>
          </cell>
          <cell r="F207" t="str">
            <v>Azure Devops</v>
          </cell>
          <cell r="G207" t="str">
            <v>it.grma.rdna</v>
          </cell>
          <cell r="H207" t="str">
            <v>23.00</v>
          </cell>
          <cell r="I207" t="str">
            <v>ear</v>
          </cell>
          <cell r="J207"/>
          <cell r="K207"/>
          <cell r="L207"/>
          <cell r="M207" t="str">
            <v>https://dev.azure.com/realeitesorg/it.grma.rdna/_build?definitionId=2903</v>
          </cell>
          <cell r="AB207" t="str">
            <v>pasauba_CORRETTIVA</v>
          </cell>
        </row>
        <row r="208">
          <cell r="A208" t="str">
            <v>mobile_EVOLUTIVA</v>
          </cell>
          <cell r="B208" t="str">
            <v>PASS MULTICANALITÀ</v>
          </cell>
          <cell r="C208" t="str">
            <v>Treno Danni</v>
          </cell>
          <cell r="D208" t="str">
            <v>Rilascio Multicanalità Mobile MCPMOB</v>
          </cell>
          <cell r="E208" t="str">
            <v>Multicanalità - Mobile</v>
          </cell>
          <cell r="F208" t="str">
            <v>Azure Devops</v>
          </cell>
          <cell r="G208" t="str">
            <v>it.grma.rdna</v>
          </cell>
          <cell r="H208" t="str">
            <v>23.00</v>
          </cell>
          <cell r="I208" t="str">
            <v>ear</v>
          </cell>
          <cell r="J208"/>
          <cell r="K208"/>
          <cell r="L208"/>
          <cell r="M208" t="str">
            <v>https://dev.azure.com/realeitesorg/it.grma.rdna/_build?definitionId=2904</v>
          </cell>
          <cell r="AB208" t="str">
            <v>pasauba_EVOLUTIVA_DEPLOY</v>
          </cell>
        </row>
        <row r="209">
          <cell r="A209" t="str">
            <v>pasau_CORRETTIVA_DEPLOY</v>
          </cell>
          <cell r="B209" t="str">
            <v>PASS AUTO</v>
          </cell>
          <cell r="C209" t="str">
            <v>Treno Danni</v>
          </cell>
          <cell r="D209" t="str">
            <v>Rilascio Pass Auto 7PASAU</v>
          </cell>
          <cell r="E209" t="str">
            <v>Pass Auto</v>
          </cell>
          <cell r="F209" t="str">
            <v>Azure Devops</v>
          </cell>
          <cell r="G209" t="str">
            <v>it.grma.rdna</v>
          </cell>
          <cell r="H209" t="str">
            <v>23.00</v>
          </cell>
          <cell r="I209" t="str">
            <v>ear</v>
          </cell>
          <cell r="J209"/>
          <cell r="K209"/>
          <cell r="L209"/>
          <cell r="M209" t="str">
            <v>https://dev.azure.com/realeitesorg/it.grma.rdna/_build?definitionId=3977</v>
          </cell>
          <cell r="AB209" t="str">
            <v>pasba_CORRETTIVA</v>
          </cell>
        </row>
        <row r="210">
          <cell r="A210" t="str">
            <v>pasau_EVOLUTIVA_DEPLOY</v>
          </cell>
          <cell r="B210" t="str">
            <v>PASS AUTO</v>
          </cell>
          <cell r="C210" t="str">
            <v>Treno Danni</v>
          </cell>
          <cell r="D210" t="str">
            <v>Rilascio Pass Auto 7PASAU</v>
          </cell>
          <cell r="E210" t="str">
            <v>Pass Auto</v>
          </cell>
          <cell r="F210" t="str">
            <v>Azure Devops</v>
          </cell>
          <cell r="G210" t="str">
            <v>it.grma.rdna</v>
          </cell>
          <cell r="H210" t="str">
            <v>23.00</v>
          </cell>
          <cell r="I210" t="str">
            <v>ear</v>
          </cell>
          <cell r="J210"/>
          <cell r="K210"/>
          <cell r="L210"/>
          <cell r="M210" t="str">
            <v>https://dev.azure.com/realeitesorg/it.grma.rdna/_build?definitionId=3978</v>
          </cell>
          <cell r="AB210" t="str">
            <v>pasba_EVOLUTIVA</v>
          </cell>
        </row>
        <row r="211">
          <cell r="A211" t="str">
            <v>pasauba_CORRETTIVA_DEPLOY</v>
          </cell>
          <cell r="B211" t="str">
            <v>PASS AUTO</v>
          </cell>
          <cell r="C211" t="str">
            <v>Treno Danni</v>
          </cell>
          <cell r="D211" t="str">
            <v>Rilascio Pass Auto batch 7PASAUBA</v>
          </cell>
          <cell r="E211" t="str">
            <v>Pass Auto - Batch</v>
          </cell>
          <cell r="F211" t="str">
            <v>Azure Devops</v>
          </cell>
          <cell r="G211" t="str">
            <v>it.grma.rdna</v>
          </cell>
          <cell r="H211" t="str">
            <v>23.00</v>
          </cell>
          <cell r="I211" t="str">
            <v>ear</v>
          </cell>
          <cell r="J211"/>
          <cell r="K211"/>
          <cell r="L211"/>
          <cell r="M211" t="str">
            <v>https://dev.azure.com/realeitesorg/it.grma.rdna/_build?definitionId=4089</v>
          </cell>
          <cell r="AB211" t="str">
            <v>pason_CORRETTIVA</v>
          </cell>
        </row>
        <row r="212">
          <cell r="A212" t="str">
            <v>pasauba_EVOLUTIVA_DEPLOY</v>
          </cell>
          <cell r="B212" t="str">
            <v>PASS AUTO</v>
          </cell>
          <cell r="C212" t="str">
            <v>Treno Danni</v>
          </cell>
          <cell r="D212" t="str">
            <v>Rilascio Pass Auto batch 7PASAUBA</v>
          </cell>
          <cell r="E212" t="str">
            <v>Pass Auto - Batch</v>
          </cell>
          <cell r="F212" t="str">
            <v>Azure Devops</v>
          </cell>
          <cell r="G212" t="str">
            <v>it.grma.rdna</v>
          </cell>
          <cell r="H212" t="str">
            <v>23.00</v>
          </cell>
          <cell r="I212" t="str">
            <v>ear</v>
          </cell>
          <cell r="J212"/>
          <cell r="K212"/>
          <cell r="L212"/>
          <cell r="M212" t="str">
            <v>https://dev.azure.com/realeitesorg/it.grma.rdna/_build?definitionId=4090</v>
          </cell>
          <cell r="AB212" t="str">
            <v>pason_EVOLUTIVA</v>
          </cell>
        </row>
        <row r="213">
          <cell r="A213" t="str">
            <v>pasba_CORRETTIVA</v>
          </cell>
          <cell r="B213" t="str">
            <v>PASS MULTICANALITÀ</v>
          </cell>
          <cell r="C213" t="str">
            <v>Treno Danni</v>
          </cell>
          <cell r="D213" t="str">
            <v>Rilascio Pass compagnia batch PASBA</v>
          </cell>
          <cell r="E213" t="str">
            <v>Pass RE - Batch</v>
          </cell>
          <cell r="F213" t="str">
            <v>Azure Devops</v>
          </cell>
          <cell r="G213" t="str">
            <v>it.grma.rdna</v>
          </cell>
          <cell r="H213" t="str">
            <v>22.50</v>
          </cell>
          <cell r="I213" t="str">
            <v>ear</v>
          </cell>
          <cell r="J213"/>
          <cell r="K213"/>
          <cell r="L213"/>
          <cell r="M213" t="str">
            <v>https://dev.azure.com/realeitesorg/it.grma.rdna/_build?definitionId=2977</v>
          </cell>
          <cell r="AB213" t="str">
            <v>paspo_CORRETTIVA</v>
          </cell>
        </row>
        <row r="214">
          <cell r="A214" t="str">
            <v>pasba_EVOLUTIVA</v>
          </cell>
          <cell r="B214" t="str">
            <v>PASS MULTICANALITÀ</v>
          </cell>
          <cell r="C214" t="str">
            <v>Treno Danni</v>
          </cell>
          <cell r="D214" t="str">
            <v>Rilascio Pass compagnia batch PASBA</v>
          </cell>
          <cell r="E214" t="str">
            <v>Pass RE - Batch</v>
          </cell>
          <cell r="F214" t="str">
            <v>Azure Devops</v>
          </cell>
          <cell r="G214" t="str">
            <v>it.grma.rdna</v>
          </cell>
          <cell r="H214" t="str">
            <v>22.50</v>
          </cell>
          <cell r="I214" t="str">
            <v>ear</v>
          </cell>
          <cell r="J214"/>
          <cell r="K214"/>
          <cell r="L214"/>
          <cell r="M214" t="str">
            <v>https://dev.azure.com/realeitesorg/it.grma.rdna/_build?definitionId=2978</v>
          </cell>
          <cell r="AB214" t="str">
            <v>paspo_EVOLUTIVA</v>
          </cell>
        </row>
        <row r="215">
          <cell r="A215" t="str">
            <v>pason_CORRETTIVA</v>
          </cell>
          <cell r="B215" t="str">
            <v>PASS MULTICANALITÀ</v>
          </cell>
          <cell r="C215" t="str">
            <v>Treno Danni</v>
          </cell>
          <cell r="D215" t="str">
            <v>Rilascio Pass CompagniaRelease PASON</v>
          </cell>
          <cell r="E215" t="str">
            <v>Pass RE</v>
          </cell>
          <cell r="F215" t="str">
            <v>Azure Devops</v>
          </cell>
          <cell r="G215" t="str">
            <v>it.grma.rdna</v>
          </cell>
          <cell r="H215" t="str">
            <v>23.00</v>
          </cell>
          <cell r="I215" t="str">
            <v>ear</v>
          </cell>
          <cell r="J215"/>
          <cell r="K215"/>
          <cell r="L215"/>
          <cell r="M215" t="str">
            <v>https://dev.azure.com/realeitesorg/it.grma.rdna/_build?definitionId=2861</v>
          </cell>
          <cell r="AB215" t="str">
            <v>PassG</v>
          </cell>
        </row>
        <row r="216">
          <cell r="A216" t="str">
            <v>pason_EVOLUTIVA</v>
          </cell>
          <cell r="B216" t="str">
            <v>PASS MULTICANALITÀ</v>
          </cell>
          <cell r="C216" t="str">
            <v>Treno Danni</v>
          </cell>
          <cell r="D216" t="str">
            <v>Rilascio Pass CompagniaRelease PASON</v>
          </cell>
          <cell r="E216" t="str">
            <v>Pass RE</v>
          </cell>
          <cell r="F216" t="str">
            <v>Azure Devops</v>
          </cell>
          <cell r="G216" t="str">
            <v>it.grma.rdna</v>
          </cell>
          <cell r="H216" t="str">
            <v>23.00</v>
          </cell>
          <cell r="I216" t="str">
            <v>ear</v>
          </cell>
          <cell r="J216"/>
          <cell r="K216"/>
          <cell r="L216"/>
          <cell r="M216" t="str">
            <v>https://dev.azure.com/realeitesorg/it.grma.rdna/_build?definitionId=2862</v>
          </cell>
          <cell r="AB216" t="str">
            <v>PDOCMAN_WS-COR-RESERVED</v>
          </cell>
        </row>
        <row r="217">
          <cell r="A217" t="str">
            <v>paspo_CORRETTIVA</v>
          </cell>
          <cell r="B217" t="str">
            <v>PASS AUTO</v>
          </cell>
          <cell r="C217" t="str">
            <v>Treno Danni</v>
          </cell>
          <cell r="D217" t="str">
            <v>Rilascio Pass Portal 7PASPO</v>
          </cell>
          <cell r="E217" t="str">
            <v>Multicanalità - Pass Portal</v>
          </cell>
          <cell r="F217" t="str">
            <v>Azure Devops</v>
          </cell>
          <cell r="G217" t="str">
            <v>it.grma.rdna</v>
          </cell>
          <cell r="H217" t="str">
            <v>23.00</v>
          </cell>
          <cell r="I217" t="str">
            <v>ear</v>
          </cell>
          <cell r="J217"/>
          <cell r="K217"/>
          <cell r="L217"/>
          <cell r="M217" t="str">
            <v>https://dev.azure.com/realeitesorg/it.grma.rdna/_build?definitionId=4415&amp;_a=summary</v>
          </cell>
          <cell r="AB217" t="str">
            <v>POQAIA1</v>
          </cell>
        </row>
        <row r="218">
          <cell r="A218" t="str">
            <v>paspo_EVOLUTIVA</v>
          </cell>
          <cell r="B218" t="str">
            <v>PASS AUTO</v>
          </cell>
          <cell r="C218" t="str">
            <v>Treno Danni</v>
          </cell>
          <cell r="D218" t="str">
            <v>Rilascio Pass Portal 7PASPO</v>
          </cell>
          <cell r="E218" t="str">
            <v>Multicanalità - Pass Portal</v>
          </cell>
          <cell r="F218" t="str">
            <v>Azure Devops</v>
          </cell>
          <cell r="G218" t="str">
            <v>it.grma.rdna</v>
          </cell>
          <cell r="H218" t="str">
            <v>23.00</v>
          </cell>
          <cell r="I218" t="str">
            <v>ear</v>
          </cell>
          <cell r="J218"/>
          <cell r="K218"/>
          <cell r="L218"/>
          <cell r="M218" t="str">
            <v>https://dev.azure.com/realeitesorg/it.grma.rdna/_build?definitionId=4413</v>
          </cell>
          <cell r="AB218" t="str">
            <v>POQAIA3</v>
          </cell>
        </row>
        <row r="219">
          <cell r="A219" t="str">
            <v>PassG</v>
          </cell>
          <cell r="B219" t="str">
            <v>SIGEA AUTO</v>
          </cell>
          <cell r="C219" t="str">
            <v>Treno Danni</v>
          </cell>
          <cell r="D219" t="str">
            <v>Rilascio pacchetto ETL</v>
          </cell>
          <cell r="E219" t="str">
            <v>ETL - Pass Generico</v>
          </cell>
          <cell r="F219" t="str">
            <v>Ikan Alm</v>
          </cell>
          <cell r="G219" t="str">
            <v>PassGenericoB_corr_evo-R02</v>
          </cell>
          <cell r="H219" t="str">
            <v>dopo ok al rilascio</v>
          </cell>
          <cell r="I219" t="str">
            <v>etl</v>
          </cell>
          <cell r="J219"/>
          <cell r="K219"/>
          <cell r="L219"/>
          <cell r="M219"/>
          <cell r="AB219" t="str">
            <v>POQVIS1</v>
          </cell>
        </row>
        <row r="220">
          <cell r="A220" t="str">
            <v>PDOCMAN_WS-COR-RESERVED</v>
          </cell>
          <cell r="B220" t="str">
            <v>DOCUMENTALE PORTAFOGLIO</v>
          </cell>
          <cell r="C220" t="str">
            <v>Rocca</v>
          </cell>
          <cell r="D220" t="str">
            <v>Rilascio Portale Documentale Porafoglio PDOCMAN</v>
          </cell>
          <cell r="E220" t="str">
            <v>Portale Documentale Portafoglio</v>
          </cell>
          <cell r="F220" t="str">
            <v>Ikan Alm</v>
          </cell>
          <cell r="G220" t="str">
            <v>DOCUMENTALE</v>
          </cell>
          <cell r="H220" t="str">
            <v>23.00</v>
          </cell>
          <cell r="I220" t="str">
            <v>ear</v>
          </cell>
          <cell r="J220"/>
          <cell r="K220"/>
          <cell r="L220"/>
          <cell r="M220"/>
          <cell r="AB220" t="str">
            <v>POQVIS3</v>
          </cell>
        </row>
        <row r="221">
          <cell r="A221" t="str">
            <v>POQAIA1</v>
          </cell>
          <cell r="B221" t="str">
            <v>PASS AUTO</v>
          </cell>
          <cell r="C221" t="str">
            <v>Treno Danni</v>
          </cell>
          <cell r="D221" t="str">
            <v>Rilascio POQ 2.0 7POQ AIA</v>
          </cell>
          <cell r="E221" t="str">
            <v>POQ</v>
          </cell>
          <cell r="F221" t="str">
            <v>Ikan Alm</v>
          </cell>
          <cell r="G221" t="str">
            <v>POQB_evolutiva-R02</v>
          </cell>
          <cell r="H221" t="str">
            <v>23.00</v>
          </cell>
          <cell r="I221" t="str">
            <v>ear</v>
          </cell>
          <cell r="J221"/>
          <cell r="K221"/>
          <cell r="L221"/>
          <cell r="M221"/>
          <cell r="AB221" t="str">
            <v>PORTALE_MANDATI-COR-RESERVED</v>
          </cell>
        </row>
        <row r="222">
          <cell r="A222" t="str">
            <v>POQAIA3</v>
          </cell>
          <cell r="B222" t="str">
            <v>PASS AUTO</v>
          </cell>
          <cell r="C222" t="str">
            <v>Treno Danni</v>
          </cell>
          <cell r="D222" t="str">
            <v>Rilascio POQ 2.0 7POQ AIA</v>
          </cell>
          <cell r="E222" t="str">
            <v>POQ</v>
          </cell>
          <cell r="F222" t="str">
            <v>Ikan Alm</v>
          </cell>
          <cell r="G222" t="str">
            <v>POQB_evolutiva-R02</v>
          </cell>
          <cell r="H222" t="str">
            <v>23.00</v>
          </cell>
          <cell r="I222" t="str">
            <v>ear</v>
          </cell>
          <cell r="J222"/>
          <cell r="K222"/>
          <cell r="L222"/>
          <cell r="M222"/>
          <cell r="AB222" t="str">
            <v>portcoll_BATCH_CORRETTIVA</v>
          </cell>
        </row>
        <row r="223">
          <cell r="A223" t="str">
            <v>POQVIS1</v>
          </cell>
          <cell r="B223" t="str">
            <v>PASS AUTO</v>
          </cell>
          <cell r="C223" t="str">
            <v>Treno Danni</v>
          </cell>
          <cell r="D223" t="str">
            <v>Rilascio POQ 2.0 7POQ VIS</v>
          </cell>
          <cell r="E223" t="str">
            <v>POQ</v>
          </cell>
          <cell r="F223" t="str">
            <v>Ikan Alm</v>
          </cell>
          <cell r="G223" t="str">
            <v>POQB_evolutiva-R02</v>
          </cell>
          <cell r="H223" t="str">
            <v>23.00</v>
          </cell>
          <cell r="I223" t="str">
            <v>ear</v>
          </cell>
          <cell r="J223"/>
          <cell r="K223"/>
          <cell r="L223"/>
          <cell r="M223"/>
          <cell r="AB223" t="str">
            <v>portcoll_BATCH_EVOLUTIVA</v>
          </cell>
        </row>
        <row r="224">
          <cell r="A224" t="str">
            <v>POQVIS3</v>
          </cell>
          <cell r="B224" t="str">
            <v>PASS AUTO</v>
          </cell>
          <cell r="C224" t="str">
            <v>Treno Danni</v>
          </cell>
          <cell r="D224" t="str">
            <v>Rilascio POQ 2.0 7POQ VIS</v>
          </cell>
          <cell r="E224" t="str">
            <v>POQ</v>
          </cell>
          <cell r="F224" t="str">
            <v>Ikan Alm</v>
          </cell>
          <cell r="G224" t="str">
            <v>POQB_evolutiva-R02</v>
          </cell>
          <cell r="H224" t="str">
            <v>23.00</v>
          </cell>
          <cell r="I224" t="str">
            <v>ear</v>
          </cell>
          <cell r="J224"/>
          <cell r="K224"/>
          <cell r="L224"/>
          <cell r="M224"/>
          <cell r="AB224" t="str">
            <v>portcoll_CORRETTIVA</v>
          </cell>
        </row>
        <row r="225">
          <cell r="A225" t="str">
            <v>PORTALE_MANDATI-COR-RESERVED</v>
          </cell>
          <cell r="B225" t="str">
            <v>DOCUMENTALE PORTAFOGLIO</v>
          </cell>
          <cell r="C225" t="str">
            <v>Rocca</v>
          </cell>
          <cell r="D225" t="str">
            <v>Rilascio Portale Documentale Portafolgio PORTAL MANDATI</v>
          </cell>
          <cell r="E225" t="str">
            <v>Portale Documentale Mandati</v>
          </cell>
          <cell r="F225" t="str">
            <v>Ikan Alm</v>
          </cell>
          <cell r="G225" t="str">
            <v>DOCUMENTALE</v>
          </cell>
          <cell r="H225" t="str">
            <v>23.00</v>
          </cell>
          <cell r="I225" t="str">
            <v>ear</v>
          </cell>
          <cell r="J225"/>
          <cell r="K225"/>
          <cell r="L225"/>
          <cell r="M225"/>
          <cell r="AB225" t="str">
            <v>portcoll_EVOLUTIVA</v>
          </cell>
        </row>
        <row r="226">
          <cell r="A226" t="str">
            <v>portcoll_batch_CORRETTIVA</v>
          </cell>
          <cell r="B226" t="str">
            <v>PORTALE COLLABORATORI</v>
          </cell>
          <cell r="C226" t="str">
            <v>Treno Sinistri</v>
          </cell>
          <cell r="D226" t="str">
            <v>Rilascio Portale Collaboratori BATCH</v>
          </cell>
          <cell r="E226" t="str">
            <v>Portale Collaboratori - Batch</v>
          </cell>
          <cell r="F226" t="str">
            <v>Azure Devops</v>
          </cell>
          <cell r="G226" t="str">
            <v>it.grma.claims</v>
          </cell>
          <cell r="H226" t="str">
            <v>22.45</v>
          </cell>
          <cell r="I226" t="str">
            <v>ear</v>
          </cell>
          <cell r="J226"/>
          <cell r="K226"/>
          <cell r="L226"/>
          <cell r="M226" t="str">
            <v>https://dev.azure.com/realeitesorg/it.grma.claims/_build?definitionId=2247</v>
          </cell>
          <cell r="AB226" t="str">
            <v>ppevo_CORRETTIVA</v>
          </cell>
        </row>
        <row r="227">
          <cell r="A227" t="str">
            <v>portcoll_BATCH_EVOLUTIVA</v>
          </cell>
          <cell r="B227" t="str">
            <v>PORTALE COLLABORATORI</v>
          </cell>
          <cell r="C227" t="str">
            <v>Treno Sinistri</v>
          </cell>
          <cell r="D227" t="str">
            <v>Rilascio Portale Collaboratori BATCH</v>
          </cell>
          <cell r="E227" t="str">
            <v>Portale Collaboratori - Batch</v>
          </cell>
          <cell r="F227" t="str">
            <v>Azure Devops</v>
          </cell>
          <cell r="G227" t="str">
            <v>it.grma.claims</v>
          </cell>
          <cell r="H227" t="str">
            <v>22.45</v>
          </cell>
          <cell r="I227" t="str">
            <v>ear</v>
          </cell>
          <cell r="J227"/>
          <cell r="K227"/>
          <cell r="L227"/>
          <cell r="M227" t="str">
            <v>https://dev.azure.com/realeitesorg/it.grma.claims/_build?definitionId=2248</v>
          </cell>
          <cell r="AB227" t="str">
            <v>ppevo_EVOLUTIVA</v>
          </cell>
        </row>
        <row r="228">
          <cell r="A228" t="str">
            <v>portcoll_CORRETTIVA</v>
          </cell>
          <cell r="B228" t="str">
            <v>PORTALE COLLABORATORI</v>
          </cell>
          <cell r="C228" t="str">
            <v>Treno Sinistri</v>
          </cell>
          <cell r="D228" t="str">
            <v xml:space="preserve">Rilascio Portale Collaboratori PORCOL  </v>
          </cell>
          <cell r="E228" t="str">
            <v>Portale Collaboratori</v>
          </cell>
          <cell r="F228" t="str">
            <v>Azure Devops</v>
          </cell>
          <cell r="G228" t="str">
            <v>it.grma.claims</v>
          </cell>
          <cell r="H228" t="str">
            <v>23.00-Dopo portcoll_batch</v>
          </cell>
          <cell r="I228" t="str">
            <v>ear</v>
          </cell>
          <cell r="J228"/>
          <cell r="K228"/>
          <cell r="L228"/>
          <cell r="M228" t="str">
            <v>https://dev.azure.com/realeitesorg/it.grma.claims/_build?definitionId=2245</v>
          </cell>
          <cell r="AB228" t="str">
            <v>PPsuOra-CORR</v>
          </cell>
        </row>
        <row r="229">
          <cell r="A229" t="str">
            <v>portcoll_EVOLUTIVA</v>
          </cell>
          <cell r="B229" t="str">
            <v>PORTALE COLLABORATORI</v>
          </cell>
          <cell r="C229" t="str">
            <v>Treno Sinistri</v>
          </cell>
          <cell r="D229" t="str">
            <v xml:space="preserve">Rilascio Portale Collaboratori PORCOL  </v>
          </cell>
          <cell r="E229" t="str">
            <v>Portale Collaboratori</v>
          </cell>
          <cell r="F229" t="str">
            <v>Azure Devops</v>
          </cell>
          <cell r="G229" t="str">
            <v>it.grma.claims</v>
          </cell>
          <cell r="H229" t="str">
            <v>23.00-Dopo portcoll_batch</v>
          </cell>
          <cell r="I229" t="str">
            <v>ear</v>
          </cell>
          <cell r="J229"/>
          <cell r="K229"/>
          <cell r="L229"/>
          <cell r="M229" t="str">
            <v>https://dev.azure.com/realeitesorg/it.grma.claims/_build?definitionId=2246</v>
          </cell>
          <cell r="AB229" t="str">
            <v>RealeGPT_CORRETTIVA</v>
          </cell>
        </row>
        <row r="230">
          <cell r="A230" t="str">
            <v>ppevo_CORRETTIVA</v>
          </cell>
          <cell r="B230" t="str">
            <v>PASS MULTICANALITÀ</v>
          </cell>
          <cell r="C230" t="str">
            <v>Treno Danni</v>
          </cell>
          <cell r="D230" t="str">
            <v>Rilascio PPEVO 7PASPE</v>
          </cell>
          <cell r="E230" t="str">
            <v>PPEVO</v>
          </cell>
          <cell r="F230" t="str">
            <v>Azure Devops</v>
          </cell>
          <cell r="G230" t="str">
            <v>it.grma.rdna</v>
          </cell>
          <cell r="H230" t="str">
            <v>23.00</v>
          </cell>
          <cell r="I230" t="str">
            <v>ear</v>
          </cell>
          <cell r="J230"/>
          <cell r="K230"/>
          <cell r="L230"/>
          <cell r="M230" t="str">
            <v>https://dev.azure.com/realeitesorg/it.grma.rdna/_build?definitionId=3153</v>
          </cell>
          <cell r="AB230" t="str">
            <v>RealeGPT_EVOLUTIVA</v>
          </cell>
        </row>
        <row r="231">
          <cell r="A231" t="str">
            <v>ppevo_EVOLUTIVA</v>
          </cell>
          <cell r="B231" t="str">
            <v>PASS MULTICANALITÀ</v>
          </cell>
          <cell r="C231" t="str">
            <v>Treno Danni</v>
          </cell>
          <cell r="D231" t="str">
            <v>Rilascio PPEVO 7PASPE</v>
          </cell>
          <cell r="E231" t="str">
            <v>PPEVO</v>
          </cell>
          <cell r="F231" t="str">
            <v>Azure Devops</v>
          </cell>
          <cell r="G231" t="str">
            <v>it.grma.rdna</v>
          </cell>
          <cell r="H231" t="str">
            <v>23.00</v>
          </cell>
          <cell r="I231" t="str">
            <v>ear</v>
          </cell>
          <cell r="J231"/>
          <cell r="K231"/>
          <cell r="L231"/>
          <cell r="M231" t="str">
            <v>https://dev.azure.com/realeitesorg/it.grma.rdna/_build?definitionId=3239</v>
          </cell>
          <cell r="AB231" t="str">
            <v>realeitesorg/it.motor/Pipelines/AutoEmergenza</v>
          </cell>
        </row>
        <row r="232">
          <cell r="A232" t="str">
            <v>PPsuOra-CORR</v>
          </cell>
          <cell r="B232"/>
          <cell r="C232" t="str">
            <v>Treno Sinistri</v>
          </cell>
          <cell r="D232" t="str">
            <v>Rilascio pacchetto ETL</v>
          </cell>
          <cell r="E232" t="str">
            <v>ETL - Portale Collaboratori</v>
          </cell>
          <cell r="F232" t="str">
            <v>Ikan Alm</v>
          </cell>
          <cell r="G232" t="str">
            <v>PPsuOra</v>
          </cell>
          <cell r="H232" t="str">
            <v>dopo ok al rilascio</v>
          </cell>
          <cell r="I232" t="str">
            <v>etl</v>
          </cell>
          <cell r="J232"/>
          <cell r="K232"/>
          <cell r="L232"/>
          <cell r="M232"/>
          <cell r="AB232" t="str">
            <v>realeitesorg/it.motor/Pipelines/LMUPDashboard</v>
          </cell>
        </row>
        <row r="233">
          <cell r="A233" t="str">
            <v>RealeGPT_CORRETTIVA</v>
          </cell>
          <cell r="B233" t="str">
            <v>MISCELLANEOUS</v>
          </cell>
          <cell r="C233" t="str">
            <v>Cannavà</v>
          </cell>
          <cell r="D233" t="str">
            <v>Rilascio pipeline REALEGPT</v>
          </cell>
          <cell r="E233" t="str">
            <v>RealeGPT</v>
          </cell>
          <cell r="F233" t="str">
            <v>Azure Devops</v>
          </cell>
          <cell r="G233" t="str">
            <v>it.miscellaneous</v>
          </cell>
          <cell r="H233" t="str">
            <v>23.00</v>
          </cell>
          <cell r="I233" t="str">
            <v>ear</v>
          </cell>
          <cell r="J233"/>
          <cell r="K233"/>
          <cell r="L233"/>
          <cell r="M233" t="str">
            <v>https://dev.azure.com/realeitesorg/it.miscellaneous/_build?definitionId=1683</v>
          </cell>
          <cell r="AB233" t="str">
            <v>realeitesorg/it.motor/Pipelines/SicSearch_CORRETTIVA</v>
          </cell>
        </row>
        <row r="234">
          <cell r="A234" t="str">
            <v>RealeGPT_EVOLUTIVA</v>
          </cell>
          <cell r="B234" t="str">
            <v>MISCELLANEOUS</v>
          </cell>
          <cell r="C234" t="str">
            <v>Cannavà</v>
          </cell>
          <cell r="D234" t="str">
            <v>Rilascio pipeline REALEGPT</v>
          </cell>
          <cell r="E234" t="str">
            <v>RealeGPT</v>
          </cell>
          <cell r="F234" t="str">
            <v>Azure Devops</v>
          </cell>
          <cell r="G234" t="str">
            <v>it.miscellaneous</v>
          </cell>
          <cell r="H234" t="str">
            <v>23.00</v>
          </cell>
          <cell r="I234" t="str">
            <v>ear</v>
          </cell>
          <cell r="J234"/>
          <cell r="K234"/>
          <cell r="L234"/>
          <cell r="M234" t="str">
            <v>https://dev.azure.com/realeitesorg/it.miscellaneous/_build?definitionId=1303</v>
          </cell>
          <cell r="AB234" t="str">
            <v>realeitesorg/it.motor/Pipelines/SicSearch_EVOLUTIVA</v>
          </cell>
        </row>
        <row r="235">
          <cell r="A235" t="str">
            <v>realeitesorg/it.motor/Pipelines/AutoEmergenza</v>
          </cell>
          <cell r="B235" t="str">
            <v>MOTOR</v>
          </cell>
          <cell r="C235" t="str">
            <v>Treno Danni</v>
          </cell>
          <cell r="D235" t="str">
            <v>Rilascio pipeline AutoEmergenza</v>
          </cell>
          <cell r="E235" t="str">
            <v>AutoEmergenza</v>
          </cell>
          <cell r="F235" t="str">
            <v>Azure Devops</v>
          </cell>
          <cell r="G235" t="str">
            <v>it.motor</v>
          </cell>
          <cell r="H235" t="str">
            <v>ore20.00</v>
          </cell>
          <cell r="I235" t="str">
            <v>ear</v>
          </cell>
          <cell r="J235"/>
          <cell r="K235"/>
          <cell r="L235"/>
          <cell r="M235" t="str">
            <v>https://dev.azure.com/realeitesorg/it.motor/_build?definitionId=960</v>
          </cell>
          <cell r="AB235" t="str">
            <v>RIASSI</v>
          </cell>
        </row>
        <row r="236">
          <cell r="A236" t="str">
            <v>realeitesorg/it.motor/Pipelines/LMUPDashboard</v>
          </cell>
          <cell r="B236" t="str">
            <v>MOTOR</v>
          </cell>
          <cell r="C236" t="str">
            <v>Treno Danni</v>
          </cell>
          <cell r="D236" t="str">
            <v>Rilascio pipeline LMUPDashboard</v>
          </cell>
          <cell r="E236" t="str">
            <v>LMUP</v>
          </cell>
          <cell r="F236" t="str">
            <v>Azure Devops</v>
          </cell>
          <cell r="G236" t="str">
            <v>it.motor</v>
          </cell>
          <cell r="H236" t="str">
            <v>ore20.00</v>
          </cell>
          <cell r="I236" t="str">
            <v>ear</v>
          </cell>
          <cell r="J236"/>
          <cell r="K236"/>
          <cell r="L236"/>
          <cell r="M236" t="str">
            <v>https://dev.azure.com/realeitesorg/it.motor/_build?definitionId=4126</v>
          </cell>
          <cell r="AB236" t="str">
            <v>SC01OTX-cor</v>
          </cell>
        </row>
        <row r="237">
          <cell r="A237" t="str">
            <v>realeitesorg/it.motor/Pipelines/SicSearch_CORRETTIVA</v>
          </cell>
          <cell r="B237" t="str">
            <v>MOTOR</v>
          </cell>
          <cell r="C237" t="str">
            <v>Treno Danni</v>
          </cell>
          <cell r="D237" t="str">
            <v>Rilascio pipelineSicSearch</v>
          </cell>
          <cell r="E237" t="str">
            <v>SicSearch</v>
          </cell>
          <cell r="F237" t="str">
            <v>Azure Devops</v>
          </cell>
          <cell r="G237" t="str">
            <v>it.motor</v>
          </cell>
          <cell r="H237" t="str">
            <v>ore20.00</v>
          </cell>
          <cell r="I237" t="str">
            <v>ear</v>
          </cell>
          <cell r="J237"/>
          <cell r="K237"/>
          <cell r="L237"/>
          <cell r="M237" t="str">
            <v>https://dev.azure.com/realeitesorg/it.motor/_build?definitionId=1012</v>
          </cell>
          <cell r="AB237" t="str">
            <v>SC01OTX-EVO</v>
          </cell>
        </row>
        <row r="238">
          <cell r="A238" t="str">
            <v>realeitesorg/it.motor/Pipelines/SicSearch_EVOLUTIVA</v>
          </cell>
          <cell r="B238" t="str">
            <v>MOTOR</v>
          </cell>
          <cell r="C238" t="str">
            <v>Treno Danni</v>
          </cell>
          <cell r="D238" t="str">
            <v>Rilascio pipelineSicSearch</v>
          </cell>
          <cell r="E238" t="str">
            <v>SicSearch</v>
          </cell>
          <cell r="F238" t="str">
            <v>Azure Devops</v>
          </cell>
          <cell r="G238" t="str">
            <v>it.motor</v>
          </cell>
          <cell r="H238" t="str">
            <v>ore20.00</v>
          </cell>
          <cell r="I238" t="str">
            <v>ear</v>
          </cell>
          <cell r="J238"/>
          <cell r="K238"/>
          <cell r="L238"/>
          <cell r="M238" t="str">
            <v>https://dev.azure.com/realeitesorg/it.motor/_build?definitionId=969</v>
          </cell>
          <cell r="AB238" t="str">
            <v>SESBA1-COR</v>
          </cell>
        </row>
        <row r="239">
          <cell r="A239" t="str">
            <v>RIASSI</v>
          </cell>
          <cell r="B239" t="str">
            <v>RIASSI</v>
          </cell>
          <cell r="C239" t="str">
            <v>Pavia</v>
          </cell>
          <cell r="D239" t="str">
            <v>Rilascio pacchetto ETL</v>
          </cell>
          <cell r="E239" t="str">
            <v>ETL - Riassi</v>
          </cell>
          <cell r="F239" t="str">
            <v>Ikan Alm</v>
          </cell>
          <cell r="G239" t="str">
            <v>RiassiB_corr_evo-R02</v>
          </cell>
          <cell r="H239" t="str">
            <v>dopo ok al rilascio</v>
          </cell>
          <cell r="I239" t="str">
            <v>etl</v>
          </cell>
          <cell r="J239"/>
          <cell r="K239"/>
          <cell r="L239"/>
          <cell r="M239"/>
          <cell r="AB239" t="str">
            <v>SESBA1-EVO</v>
          </cell>
        </row>
        <row r="240">
          <cell r="A240" t="str">
            <v>SC01OTX-cor</v>
          </cell>
          <cell r="B240" t="str">
            <v>SIGEA SINISTRI</v>
          </cell>
          <cell r="C240" t="str">
            <v>Treno Sinistri</v>
          </cell>
          <cell r="D240" t="str">
            <v>Rilascio tuxedo Sigea Sinistri SC01OTX</v>
          </cell>
          <cell r="E240" t="str">
            <v>SIGEA Sinistri</v>
          </cell>
          <cell r="F240" t="str">
            <v>Ikan Alm</v>
          </cell>
          <cell r="G240" t="str">
            <v>SS01OTXB_correttiva-R01</v>
          </cell>
          <cell r="H240" t="str">
            <v>23.00</v>
          </cell>
          <cell r="I240" t="str">
            <v>tuxedo</v>
          </cell>
          <cell r="J240"/>
          <cell r="K240"/>
          <cell r="L240"/>
          <cell r="M240"/>
          <cell r="AB240" t="str">
            <v>SESBA3-COR</v>
          </cell>
        </row>
        <row r="241">
          <cell r="A241" t="str">
            <v>SC01OTX-EVO</v>
          </cell>
          <cell r="B241" t="str">
            <v>SIGEA SINISTRI</v>
          </cell>
          <cell r="C241" t="str">
            <v>Treno Sinistri</v>
          </cell>
          <cell r="D241" t="str">
            <v>Rilascio tuxedo Sigea Sinistri SC01OTX</v>
          </cell>
          <cell r="E241" t="str">
            <v>SIGEA Sinistri</v>
          </cell>
          <cell r="F241" t="str">
            <v>Ikan Alm</v>
          </cell>
          <cell r="G241" t="str">
            <v>RELEASESIGE</v>
          </cell>
          <cell r="H241" t="str">
            <v>23.00</v>
          </cell>
          <cell r="I241" t="str">
            <v>tuxedo</v>
          </cell>
          <cell r="J241"/>
          <cell r="K241"/>
          <cell r="L241"/>
          <cell r="M241"/>
          <cell r="AB241" t="str">
            <v>SESBA3-EVO</v>
          </cell>
        </row>
        <row r="242">
          <cell r="A242" t="str">
            <v>SESBA1-COR</v>
          </cell>
          <cell r="B242" t="str">
            <v>INTEGRAZIONE</v>
          </cell>
          <cell r="C242" t="str">
            <v>Martino</v>
          </cell>
          <cell r="D242" t="str">
            <v>Rilascio integrazione SESBA1</v>
          </cell>
          <cell r="E242" t="str">
            <v>Integrazione - Batch</v>
          </cell>
          <cell r="F242" t="str">
            <v>Ikan Alm</v>
          </cell>
          <cell r="G242" t="str">
            <v>INTEGRAZIONE</v>
          </cell>
          <cell r="H242" t="str">
            <v>23.00</v>
          </cell>
          <cell r="I242" t="str">
            <v>ear</v>
          </cell>
          <cell r="J242"/>
          <cell r="K242"/>
          <cell r="L242"/>
          <cell r="M242"/>
          <cell r="AB242" t="str">
            <v>SG01OTX-cor</v>
          </cell>
        </row>
        <row r="243">
          <cell r="A243" t="str">
            <v>SESBA1-EVO</v>
          </cell>
          <cell r="B243" t="str">
            <v>INTEGRAZIONE</v>
          </cell>
          <cell r="C243" t="str">
            <v>Martino</v>
          </cell>
          <cell r="D243" t="str">
            <v>Rilascio integrazione SESBA1</v>
          </cell>
          <cell r="E243" t="str">
            <v>Integrazione - Batch</v>
          </cell>
          <cell r="F243" t="str">
            <v>Ikan Alm</v>
          </cell>
          <cell r="G243" t="str">
            <v>INTEGRAZIONE</v>
          </cell>
          <cell r="H243" t="str">
            <v>23.00</v>
          </cell>
          <cell r="I243" t="str">
            <v>ear</v>
          </cell>
          <cell r="J243"/>
          <cell r="K243"/>
          <cell r="L243"/>
          <cell r="M243"/>
          <cell r="AB243" t="str">
            <v>SG01OTX-evo</v>
          </cell>
        </row>
        <row r="244">
          <cell r="A244" t="str">
            <v>SESBA3-COR</v>
          </cell>
          <cell r="B244" t="str">
            <v>INTEGRAZIONE</v>
          </cell>
          <cell r="C244" t="str">
            <v>Martino</v>
          </cell>
          <cell r="D244" t="str">
            <v>Rilascio integrazione SESBA3</v>
          </cell>
          <cell r="E244" t="str">
            <v>Integrazione - Batch</v>
          </cell>
          <cell r="F244" t="str">
            <v>Ikan Alm</v>
          </cell>
          <cell r="G244" t="str">
            <v>INTEGRAZIONE</v>
          </cell>
          <cell r="H244" t="str">
            <v>23.00</v>
          </cell>
          <cell r="I244" t="str">
            <v>ear</v>
          </cell>
          <cell r="J244"/>
          <cell r="K244"/>
          <cell r="L244"/>
          <cell r="M244"/>
          <cell r="AB244" t="str">
            <v>SicSearch_EVOLUTIVA</v>
          </cell>
        </row>
        <row r="245">
          <cell r="A245" t="str">
            <v>SESBA3-EVO</v>
          </cell>
          <cell r="B245" t="str">
            <v>INTEGRAZIONE</v>
          </cell>
          <cell r="C245" t="str">
            <v>Martino</v>
          </cell>
          <cell r="D245" t="str">
            <v>Rilascio integrazione SESBA3</v>
          </cell>
          <cell r="E245" t="str">
            <v>Integrazione - Batch</v>
          </cell>
          <cell r="F245" t="str">
            <v>Ikan Alm</v>
          </cell>
          <cell r="G245" t="str">
            <v>INTEGRAZIONE</v>
          </cell>
          <cell r="H245" t="str">
            <v>23.00</v>
          </cell>
          <cell r="I245" t="str">
            <v>ear</v>
          </cell>
          <cell r="J245"/>
          <cell r="K245"/>
          <cell r="L245"/>
          <cell r="M245"/>
          <cell r="AB245" t="str">
            <v>SigeaAnagrafe-CORR</v>
          </cell>
        </row>
        <row r="246">
          <cell r="A246" t="str">
            <v>SG01OTX-cor</v>
          </cell>
          <cell r="B246" t="str">
            <v>SIGEA ANAGRAFE</v>
          </cell>
          <cell r="C246" t="str">
            <v>Bugni Batte</v>
          </cell>
          <cell r="D246" t="str">
            <v>Rilascio tuxedo Sigea Anagrafe SG01OTX</v>
          </cell>
          <cell r="E246" t="str">
            <v>SIGEA Anagrafe</v>
          </cell>
          <cell r="F246" t="str">
            <v>Ikan Alm</v>
          </cell>
          <cell r="G246" t="str">
            <v>SG01OTXB_correttiva-R01</v>
          </cell>
          <cell r="H246" t="str">
            <v>23.00</v>
          </cell>
          <cell r="I246" t="str">
            <v>tuxedo</v>
          </cell>
          <cell r="J246"/>
          <cell r="K246"/>
          <cell r="L246"/>
          <cell r="M246"/>
          <cell r="AB246" t="str">
            <v>SigeaAnagrafe-EVO</v>
          </cell>
        </row>
        <row r="247">
          <cell r="A247" t="str">
            <v>SG01OTX-evo</v>
          </cell>
          <cell r="B247" t="str">
            <v>SIGEA ANAGRAFE</v>
          </cell>
          <cell r="C247" t="str">
            <v>Bugni Batte</v>
          </cell>
          <cell r="D247" t="str">
            <v>Rilascio tuxedo Sigea Anagrafe SG01OTX</v>
          </cell>
          <cell r="E247" t="str">
            <v>SIGEA Anagrafe</v>
          </cell>
          <cell r="F247" t="str">
            <v>Ikan Alm</v>
          </cell>
          <cell r="G247" t="str">
            <v>RELEASESIGE</v>
          </cell>
          <cell r="H247" t="str">
            <v>23.00</v>
          </cell>
          <cell r="I247" t="str">
            <v>tuxedo</v>
          </cell>
          <cell r="J247"/>
          <cell r="K247"/>
          <cell r="L247"/>
          <cell r="M247"/>
          <cell r="AB247" t="str">
            <v>SINISTRI-COR</v>
          </cell>
        </row>
        <row r="248">
          <cell r="A248" t="str">
            <v>SicSearch_EVOLUTIVA</v>
          </cell>
          <cell r="B248" t="str">
            <v>MOTOR</v>
          </cell>
          <cell r="C248" t="str">
            <v>Treno Danni</v>
          </cell>
          <cell r="D248" t="str">
            <v>Rilascio pipeline SicSearch</v>
          </cell>
          <cell r="E248" t="str">
            <v>SicSearch</v>
          </cell>
          <cell r="F248" t="str">
            <v>Azure Devops</v>
          </cell>
          <cell r="G248" t="str">
            <v>it.motor</v>
          </cell>
          <cell r="H248" t="str">
            <v>ore20.00</v>
          </cell>
          <cell r="I248" t="str">
            <v>ear</v>
          </cell>
          <cell r="J248"/>
          <cell r="K248"/>
          <cell r="L248"/>
          <cell r="M248" t="str">
            <v>https://dev.azure.com/realeitesorg/it.motor/_build?definitionId=969</v>
          </cell>
          <cell r="AB248" t="str">
            <v>SinistriDataEnricher</v>
          </cell>
        </row>
        <row r="249">
          <cell r="A249" t="str">
            <v>SigeaAnagrafe-CORR</v>
          </cell>
          <cell r="B249" t="str">
            <v>SIGEA ANAGRAFE</v>
          </cell>
          <cell r="C249" t="str">
            <v>Bugni Batte</v>
          </cell>
          <cell r="D249" t="str">
            <v>Rilascio pacchetto ETL</v>
          </cell>
          <cell r="E249" t="str">
            <v>ETL - SIGEA Anagrafe</v>
          </cell>
          <cell r="F249" t="str">
            <v>Ikan Alm</v>
          </cell>
          <cell r="G249" t="str">
            <v>SigeaAnagrafeB_corr_evo-R02</v>
          </cell>
          <cell r="H249" t="str">
            <v>dopo ok al rilascio</v>
          </cell>
          <cell r="I249" t="str">
            <v>ear</v>
          </cell>
          <cell r="J249"/>
          <cell r="K249"/>
          <cell r="L249"/>
          <cell r="M249"/>
          <cell r="AB249" t="str">
            <v>SINISTRI-EVO</v>
          </cell>
        </row>
        <row r="250">
          <cell r="A250" t="str">
            <v>SigeaAnagrafe-EVO</v>
          </cell>
          <cell r="B250" t="str">
            <v>SIGEA ANAGRAFE</v>
          </cell>
          <cell r="C250" t="str">
            <v>Cauda</v>
          </cell>
          <cell r="D250" t="str">
            <v>Rilascio pacchetto ETL</v>
          </cell>
          <cell r="E250" t="str">
            <v>ETL - SIGEA Anagrafe</v>
          </cell>
          <cell r="F250" t="str">
            <v>Ikan Alm</v>
          </cell>
          <cell r="G250" t="str">
            <v>ADAPTER_SINISTRIB_corr_evo-R02</v>
          </cell>
          <cell r="H250" t="str">
            <v>dopo ok al rilascio</v>
          </cell>
          <cell r="I250" t="str">
            <v>etl</v>
          </cell>
          <cell r="J250"/>
          <cell r="K250"/>
          <cell r="L250"/>
          <cell r="M250"/>
          <cell r="AB250" t="str">
            <v>siweb_CORRETTIVA</v>
          </cell>
        </row>
        <row r="251">
          <cell r="A251" t="str">
            <v>SINISTRI-COR</v>
          </cell>
          <cell r="B251" t="str">
            <v>EDW - ESTRATTORI</v>
          </cell>
          <cell r="C251" t="str">
            <v>Cauda</v>
          </cell>
          <cell r="D251" t="str">
            <v>Rilascio pacchetto ETL</v>
          </cell>
          <cell r="E251" t="str">
            <v>ETL - SIGEA Sinistri</v>
          </cell>
          <cell r="F251" t="str">
            <v>Ikan Alm</v>
          </cell>
          <cell r="G251" t="str">
            <v>ADAPTER_SINISTRIB_corr_evo-R02</v>
          </cell>
          <cell r="H251" t="str">
            <v>dopo ok al rilascio</v>
          </cell>
          <cell r="I251" t="str">
            <v>etl</v>
          </cell>
          <cell r="J251"/>
          <cell r="K251"/>
          <cell r="L251"/>
          <cell r="M251"/>
          <cell r="AB251" t="str">
            <v>siweb_EVOLUTIVA</v>
          </cell>
        </row>
        <row r="252">
          <cell r="A252" t="str">
            <v>SinistriDataEnricher</v>
          </cell>
          <cell r="B252" t="str">
            <v>INTEGRAZIONE</v>
          </cell>
          <cell r="C252" t="str">
            <v>Martino</v>
          </cell>
          <cell r="D252" t="str">
            <v>Evoluzione Sistemi Integrazione SinistriDataEnricher</v>
          </cell>
          <cell r="E252" t="str">
            <v>Integrazione</v>
          </cell>
          <cell r="F252" t="str">
            <v>Azure Devops</v>
          </cell>
          <cell r="G252" t="str">
            <v>it.integration</v>
          </cell>
          <cell r="H252" t="str">
            <v>23.00</v>
          </cell>
          <cell r="I252" t="str">
            <v>aks</v>
          </cell>
          <cell r="J252"/>
          <cell r="K252"/>
          <cell r="L252"/>
          <cell r="M252"/>
          <cell r="AB252" t="str">
            <v>SPDanniA</v>
          </cell>
        </row>
        <row r="253">
          <cell r="A253" t="str">
            <v>SINISTRI-EVO</v>
          </cell>
          <cell r="B253" t="str">
            <v>EDW - ESTRATTORI</v>
          </cell>
          <cell r="C253" t="str">
            <v>Cauda</v>
          </cell>
          <cell r="D253" t="str">
            <v>Rilascio pacchetto ETL</v>
          </cell>
          <cell r="E253" t="str">
            <v>ETL - SIGEA Sinistri</v>
          </cell>
          <cell r="F253" t="str">
            <v>Ikan Alm</v>
          </cell>
          <cell r="G253" t="str">
            <v>ADAPTER_SINISTRIB_corr_evo-R02</v>
          </cell>
          <cell r="H253" t="str">
            <v>dopo ok al rilascio</v>
          </cell>
          <cell r="I253" t="str">
            <v>etl</v>
          </cell>
          <cell r="J253"/>
          <cell r="K253"/>
          <cell r="L253"/>
          <cell r="M253"/>
          <cell r="AB253" t="str">
            <v>SS01OTX-cor</v>
          </cell>
        </row>
        <row r="254">
          <cell r="A254" t="str">
            <v>siweb_CORRETTIVA</v>
          </cell>
          <cell r="B254" t="str">
            <v>SINISTRI WEB</v>
          </cell>
          <cell r="C254" t="str">
            <v>Treno Sinistri</v>
          </cell>
          <cell r="D254" t="str">
            <v>Rilascio Sinistri Web</v>
          </cell>
          <cell r="E254" t="str">
            <v>SinistriWeb</v>
          </cell>
          <cell r="F254" t="str">
            <v>Azure Devops</v>
          </cell>
          <cell r="G254" t="str">
            <v>it.grma.claims</v>
          </cell>
          <cell r="H254" t="str">
            <v>23.00</v>
          </cell>
          <cell r="I254" t="str">
            <v>ear</v>
          </cell>
          <cell r="J254"/>
          <cell r="K254"/>
          <cell r="L254"/>
          <cell r="M254" t="str">
            <v>https://dev.azure.com/realeitesorg/it.grma.claims/_build?definitionId=1856</v>
          </cell>
          <cell r="AB254" t="str">
            <v>SS01OTX-evo</v>
          </cell>
        </row>
        <row r="255">
          <cell r="A255" t="str">
            <v>siweb_EVOLUTIVA</v>
          </cell>
          <cell r="B255" t="str">
            <v>SINISTRI WEB</v>
          </cell>
          <cell r="C255" t="str">
            <v>TrenoSinistri</v>
          </cell>
          <cell r="D255" t="str">
            <v>Rilascio Sinistri Web</v>
          </cell>
          <cell r="E255" t="str">
            <v>SinistriWeb</v>
          </cell>
          <cell r="F255" t="str">
            <v>Azure Devops</v>
          </cell>
          <cell r="G255" t="str">
            <v>it.grma.claims</v>
          </cell>
          <cell r="H255" t="str">
            <v>23.00</v>
          </cell>
          <cell r="I255" t="str">
            <v>ear</v>
          </cell>
          <cell r="J255"/>
          <cell r="K255"/>
          <cell r="L255"/>
          <cell r="M255" t="str">
            <v>https://dev.azure.com/realeitesorg/it.grma.claims/_build?definitionId=1857</v>
          </cell>
          <cell r="AB255" t="str">
            <v>SV01OTX-cor</v>
          </cell>
        </row>
        <row r="256">
          <cell r="A256" t="str">
            <v>SPDanniA</v>
          </cell>
          <cell r="B256" t="str">
            <v>SIGEA AUTO</v>
          </cell>
          <cell r="C256" t="str">
            <v>Treno Danni</v>
          </cell>
          <cell r="D256" t="str">
            <v>Rilascio pacchetto ETL</v>
          </cell>
          <cell r="E256" t="str">
            <v>ETL - SIGEA Auto</v>
          </cell>
          <cell r="F256" t="str">
            <v>Ikan Alm</v>
          </cell>
          <cell r="G256" t="str">
            <v>SPDanniAutoB_corr_evo-R02</v>
          </cell>
          <cell r="H256" t="str">
            <v>dopo ok al rilascio</v>
          </cell>
          <cell r="I256" t="str">
            <v>etl</v>
          </cell>
          <cell r="J256"/>
          <cell r="K256"/>
          <cell r="L256"/>
          <cell r="M256"/>
          <cell r="AB256" t="str">
            <v>SV01OTX-evo</v>
          </cell>
        </row>
        <row r="257">
          <cell r="A257" t="str">
            <v>SS01OTX-cor</v>
          </cell>
          <cell r="B257" t="str">
            <v>SIGEA SINISTRI</v>
          </cell>
          <cell r="C257" t="str">
            <v>Treno Sinistri</v>
          </cell>
          <cell r="D257" t="str">
            <v>Rilascio tuxedo Sigea Sinistri SS01OTX</v>
          </cell>
          <cell r="E257" t="str">
            <v>SIGEA Sinistri</v>
          </cell>
          <cell r="F257" t="str">
            <v>Ikan Alm</v>
          </cell>
          <cell r="G257" t="str">
            <v>SS01OTXB_correttiva-R01</v>
          </cell>
          <cell r="H257" t="str">
            <v>23.00</v>
          </cell>
          <cell r="I257" t="str">
            <v>tuxedo</v>
          </cell>
          <cell r="J257"/>
          <cell r="K257"/>
          <cell r="L257"/>
          <cell r="M257"/>
          <cell r="AB257" t="str">
            <v>TargetMarket_Deploy</v>
          </cell>
        </row>
        <row r="258">
          <cell r="A258" t="str">
            <v>SS01OTX-evo</v>
          </cell>
          <cell r="B258" t="str">
            <v>SIGEA SINISTRI</v>
          </cell>
          <cell r="C258" t="str">
            <v>Treno Sinistri</v>
          </cell>
          <cell r="D258" t="str">
            <v>Rilascio tuxedo Sigea Sinistri SS01OTX</v>
          </cell>
          <cell r="E258" t="str">
            <v>SIGEA Sinistri</v>
          </cell>
          <cell r="F258" t="str">
            <v>Ikan Alm</v>
          </cell>
          <cell r="G258" t="str">
            <v>RELEASESIGE</v>
          </cell>
          <cell r="H258" t="str">
            <v>23.00</v>
          </cell>
          <cell r="I258" t="str">
            <v>tuxedo</v>
          </cell>
          <cell r="J258"/>
          <cell r="K258"/>
          <cell r="L258"/>
          <cell r="M258"/>
          <cell r="AB258" t="str">
            <v>TimesheetBackend</v>
          </cell>
        </row>
        <row r="259">
          <cell r="A259" t="str">
            <v>SV01OTX-cor</v>
          </cell>
          <cell r="B259" t="str">
            <v>SIGEA SINISTRI</v>
          </cell>
          <cell r="C259" t="str">
            <v>Treno Sinistri</v>
          </cell>
          <cell r="D259" t="str">
            <v>Rilascio tuxedo Sigea Sinistri SV01OTX</v>
          </cell>
          <cell r="E259" t="str">
            <v>SIGEA Sinistri</v>
          </cell>
          <cell r="F259" t="str">
            <v>Ikan Alm</v>
          </cell>
          <cell r="G259" t="str">
            <v>SV01OTXB_correttiva-R01</v>
          </cell>
          <cell r="H259" t="str">
            <v>23.00</v>
          </cell>
          <cell r="I259" t="str">
            <v>tuxedo</v>
          </cell>
          <cell r="J259"/>
          <cell r="K259"/>
          <cell r="L259"/>
          <cell r="M259"/>
          <cell r="AB259" t="str">
            <v>TimesheetFrontend</v>
          </cell>
        </row>
        <row r="260">
          <cell r="A260" t="str">
            <v>SV01OTX-evo</v>
          </cell>
          <cell r="B260" t="str">
            <v>SIGEA SINISTRI</v>
          </cell>
          <cell r="C260" t="str">
            <v>Treno Sinistri</v>
          </cell>
          <cell r="D260" t="str">
            <v>Rilascio tuxedo Sigea Sinistri SV01OTX</v>
          </cell>
          <cell r="E260" t="str">
            <v>SIGEA Sinistri</v>
          </cell>
          <cell r="F260" t="str">
            <v>Ikan Alm</v>
          </cell>
          <cell r="G260" t="str">
            <v>RELEASESIGE</v>
          </cell>
          <cell r="H260" t="str">
            <v>23.00</v>
          </cell>
          <cell r="I260" t="str">
            <v>tuxedo</v>
          </cell>
          <cell r="J260"/>
          <cell r="K260"/>
          <cell r="L260"/>
          <cell r="M260"/>
          <cell r="AB260" t="str">
            <v>VITA-</v>
          </cell>
        </row>
        <row r="261">
          <cell r="A261" t="str">
            <v>TimesheetBackend</v>
          </cell>
          <cell r="B261" t="str">
            <v>API</v>
          </cell>
          <cell r="C261" t="str">
            <v>Martino</v>
          </cell>
          <cell r="D261" t="str">
            <v>Rilascio API Timesheet Backend</v>
          </cell>
          <cell r="E261" t="str">
            <v>BSA/BFF vari</v>
          </cell>
          <cell r="F261" t="str">
            <v>Azure Devops</v>
          </cell>
          <cell r="G261" t="str">
            <v>it.miscellaneous</v>
          </cell>
          <cell r="H261" t="str">
            <v>23.00</v>
          </cell>
          <cell r="I261" t="str">
            <v>aks</v>
          </cell>
          <cell r="J261"/>
          <cell r="K261"/>
          <cell r="L261"/>
          <cell r="M261" t="str">
            <v>https://dev.azure.com/realeitesorg/it.miscellaneous/_build?definitionId=3984</v>
          </cell>
          <cell r="AB261" t="str">
            <v>VITA-COR</v>
          </cell>
        </row>
        <row r="262">
          <cell r="A262" t="str">
            <v>TimesheetFrontend</v>
          </cell>
          <cell r="B262" t="str">
            <v>API</v>
          </cell>
          <cell r="C262" t="str">
            <v>Martino</v>
          </cell>
          <cell r="D262" t="str">
            <v>Rilascio API Timesheet Frontend</v>
          </cell>
          <cell r="E262" t="str">
            <v>BSA/BFF vari</v>
          </cell>
          <cell r="F262" t="str">
            <v>Azure Devops</v>
          </cell>
          <cell r="G262" t="str">
            <v>it.miscellaneous</v>
          </cell>
          <cell r="H262" t="str">
            <v>23.00</v>
          </cell>
          <cell r="I262" t="str">
            <v>aks</v>
          </cell>
          <cell r="J262"/>
          <cell r="K262"/>
          <cell r="L262"/>
          <cell r="M262" t="str">
            <v>https://dev.azure.com/realeitesorg/it.miscellaneous/_build?definitionId=3989</v>
          </cell>
          <cell r="AB262" t="str">
            <v>VITA-EVO</v>
          </cell>
        </row>
        <row r="263">
          <cell r="A263" t="str">
            <v>VITA-COR</v>
          </cell>
          <cell r="B263" t="str">
            <v>VIS</v>
          </cell>
          <cell r="C263" t="str">
            <v>Colombo</v>
          </cell>
          <cell r="D263" t="str">
            <v>Rilascio VIS</v>
          </cell>
          <cell r="E263" t="str">
            <v>VIS</v>
          </cell>
          <cell r="F263" t="str">
            <v>Ikan Alm</v>
          </cell>
          <cell r="G263" t="str">
            <v>VITAB_correttiva-R01</v>
          </cell>
          <cell r="H263" t="str">
            <v>21.00</v>
          </cell>
          <cell r="I263" t="str">
            <v>tuxedo</v>
          </cell>
          <cell r="J263"/>
          <cell r="K263"/>
          <cell r="L263"/>
          <cell r="M263"/>
          <cell r="AB263" t="str">
            <v>VITAf</v>
          </cell>
        </row>
        <row r="264">
          <cell r="A264" t="str">
            <v>VITA-EVO</v>
          </cell>
          <cell r="B264" t="str">
            <v>VIS</v>
          </cell>
          <cell r="C264" t="str">
            <v>Colombo</v>
          </cell>
          <cell r="D264" t="str">
            <v>Rilascio VIS</v>
          </cell>
          <cell r="E264" t="str">
            <v>VIS</v>
          </cell>
          <cell r="F264" t="str">
            <v>Ikan Alm</v>
          </cell>
          <cell r="G264" t="str">
            <v>RELEASE VITA EURO</v>
          </cell>
          <cell r="H264" t="str">
            <v>21.00</v>
          </cell>
          <cell r="I264" t="str">
            <v>tuxedo</v>
          </cell>
          <cell r="J264"/>
          <cell r="K264"/>
          <cell r="L264"/>
          <cell r="M264"/>
          <cell r="AB264" t="str">
            <v>VITES_CORRETTIVA</v>
          </cell>
        </row>
        <row r="265">
          <cell r="A265" t="str">
            <v>VITAf</v>
          </cell>
          <cell r="B265" t="str">
            <v>VIS</v>
          </cell>
          <cell r="C265" t="str">
            <v>Colombo</v>
          </cell>
          <cell r="D265" t="str">
            <v>Rilascio VIS</v>
          </cell>
          <cell r="E265" t="str">
            <v>VIS</v>
          </cell>
          <cell r="F265" t="str">
            <v>Ikan Alm</v>
          </cell>
          <cell r="G265" t="str">
            <v>VITAB_correttiva-R01</v>
          </cell>
          <cell r="H265" t="str">
            <v>21.00</v>
          </cell>
          <cell r="I265" t="str">
            <v>tuxedo</v>
          </cell>
          <cell r="J265"/>
          <cell r="K265"/>
          <cell r="L265"/>
          <cell r="M265"/>
          <cell r="AB265" t="str">
            <v>VITES_DBCLONER-MASTER_CORR-PRODUZIONE</v>
          </cell>
        </row>
        <row r="266">
          <cell r="A266" t="str">
            <v>VITES_CORRETTIVA</v>
          </cell>
          <cell r="B266" t="str">
            <v>VITES</v>
          </cell>
          <cell r="C266" t="str">
            <v>Colombo</v>
          </cell>
          <cell r="D266" t="str">
            <v>Rilascio VITES</v>
          </cell>
          <cell r="E266" t="str">
            <v>VITES</v>
          </cell>
          <cell r="F266" t="str">
            <v>Azure Devops</v>
          </cell>
          <cell r="G266" t="str">
            <v>it.life</v>
          </cell>
          <cell r="H266" t="str">
            <v>23.00</v>
          </cell>
          <cell r="I266" t="str">
            <v>aks</v>
          </cell>
          <cell r="J266"/>
          <cell r="K266"/>
          <cell r="L266"/>
          <cell r="M266" t="str">
            <v>https://dev.azure.com/realeitesorg/it.life/_build?definitionId=1262</v>
          </cell>
          <cell r="AB266" t="str">
            <v>VITES_DBCLONER-MASTER_EVO-PRODUZIONE</v>
          </cell>
        </row>
        <row r="267">
          <cell r="A267" t="str">
            <v>VITES_DBCLONER-MASTER_CORR-PRODUZIONE</v>
          </cell>
          <cell r="B267" t="str">
            <v>VITES</v>
          </cell>
          <cell r="C267" t="str">
            <v>Colombo</v>
          </cell>
          <cell r="D267" t="str">
            <v>Aggiornamento DB VITES Produzione</v>
          </cell>
          <cell r="E267" t="str">
            <v>VITES</v>
          </cell>
          <cell r="F267" t="str">
            <v>Azure Devops</v>
          </cell>
          <cell r="G267" t="str">
            <v>it.life</v>
          </cell>
          <cell r="H267" t="str">
            <v>22.00</v>
          </cell>
          <cell r="I267" t="str">
            <v>config</v>
          </cell>
          <cell r="J267"/>
          <cell r="K267"/>
          <cell r="L267"/>
          <cell r="M267" t="str">
            <v>https://dev.azure.com/realeitesorg/it.life/_build?definitionId=2548</v>
          </cell>
          <cell r="AB267" t="str">
            <v>VITES_EVOLUTIVA</v>
          </cell>
        </row>
        <row r="268">
          <cell r="A268" t="str">
            <v>VITES_DBCLONER-MASTER_EVO-PRODUZIONE</v>
          </cell>
          <cell r="B268" t="str">
            <v>VITES</v>
          </cell>
          <cell r="C268" t="str">
            <v>Colombo</v>
          </cell>
          <cell r="D268" t="str">
            <v>Aggiornamento DB VITES Produzione</v>
          </cell>
          <cell r="E268" t="str">
            <v>VITES</v>
          </cell>
          <cell r="F268" t="str">
            <v>Azure Devops</v>
          </cell>
          <cell r="G268" t="str">
            <v>it.life</v>
          </cell>
          <cell r="H268" t="str">
            <v>22.00</v>
          </cell>
          <cell r="I268" t="str">
            <v>config</v>
          </cell>
          <cell r="J268"/>
          <cell r="K268"/>
          <cell r="L268"/>
          <cell r="M268" t="str">
            <v>https://dev.azure.com/realeitesorg/it.life/_build?definitionId=2545</v>
          </cell>
          <cell r="AB268" t="str">
            <v>VITES-CONFIGPRODUZIONE</v>
          </cell>
        </row>
        <row r="269">
          <cell r="A269" t="str">
            <v>VITES_EVOLUTIVA</v>
          </cell>
          <cell r="B269" t="str">
            <v>VITES</v>
          </cell>
          <cell r="C269" t="str">
            <v>Colombo</v>
          </cell>
          <cell r="D269" t="str">
            <v>Rilascio VITES</v>
          </cell>
          <cell r="E269" t="str">
            <v>VITES</v>
          </cell>
          <cell r="F269" t="str">
            <v>Azure Devops</v>
          </cell>
          <cell r="G269" t="str">
            <v>it.life</v>
          </cell>
          <cell r="H269" t="str">
            <v>23.00</v>
          </cell>
          <cell r="I269" t="str">
            <v>aks</v>
          </cell>
          <cell r="J269"/>
          <cell r="K269"/>
          <cell r="L269"/>
          <cell r="M269" t="str">
            <v>https://dev.azure.com/realeitesorg/it.life/_build?definitionId=1248</v>
          </cell>
          <cell r="AB269" t="str">
            <v>ws.sinistri_CORRETTIVA</v>
          </cell>
        </row>
        <row r="270">
          <cell r="A270" t="str">
            <v>VITES-CONFIGPRODUZIONE</v>
          </cell>
          <cell r="B270" t="str">
            <v>VITES</v>
          </cell>
          <cell r="C270" t="str">
            <v>Colombo</v>
          </cell>
          <cell r="D270" t="str">
            <v>Rilascio VITES CONFIG</v>
          </cell>
          <cell r="E270" t="str">
            <v>VITES</v>
          </cell>
          <cell r="F270" t="str">
            <v>Azure Devops</v>
          </cell>
          <cell r="G270" t="str">
            <v>it.life</v>
          </cell>
          <cell r="H270" t="str">
            <v>22.00</v>
          </cell>
          <cell r="I270" t="str">
            <v>config</v>
          </cell>
          <cell r="J270"/>
          <cell r="K270"/>
          <cell r="L270"/>
          <cell r="M270" t="str">
            <v>https://dev.azure.com/realeitesorg/it.life/_build?definitionId=1252</v>
          </cell>
          <cell r="AB270" t="str">
            <v>ws.sinistri_EVOLUTIVA</v>
          </cell>
        </row>
        <row r="271">
          <cell r="A271" t="str">
            <v>ws.sinistri_CORRETTIVA</v>
          </cell>
          <cell r="B271" t="str">
            <v>SINISTRI WEB</v>
          </cell>
          <cell r="C271" t="str">
            <v>Treno Sinistri</v>
          </cell>
          <cell r="D271" t="str">
            <v>Rilascio Sinistri Web - WS</v>
          </cell>
          <cell r="E271" t="str">
            <v>SinistriWeb - WS</v>
          </cell>
          <cell r="F271" t="str">
            <v>Azure Devops</v>
          </cell>
          <cell r="G271" t="str">
            <v>it.grma.claims</v>
          </cell>
          <cell r="H271" t="str">
            <v>23.00</v>
          </cell>
          <cell r="I271" t="str">
            <v>ear</v>
          </cell>
          <cell r="J271"/>
          <cell r="K271"/>
          <cell r="L271"/>
          <cell r="M271" t="str">
            <v>https://dev.azure.com/realeitesorg/it.grma.claims/_build?definitionId=2071</v>
          </cell>
          <cell r="AB271" t="str">
            <v>X_PROD</v>
          </cell>
        </row>
        <row r="272">
          <cell r="A272" t="str">
            <v>ws.sinistri_EVOLUTIVA</v>
          </cell>
          <cell r="B272" t="str">
            <v>SINISTRI WEB</v>
          </cell>
          <cell r="C272" t="str">
            <v>Treno Sinistri</v>
          </cell>
          <cell r="D272" t="str">
            <v>Rilascio Sinistri Web - WS</v>
          </cell>
          <cell r="E272" t="str">
            <v>SinistriWeb - WS</v>
          </cell>
          <cell r="F272" t="str">
            <v>Azure Devops</v>
          </cell>
          <cell r="G272" t="str">
            <v>it.grma.claims</v>
          </cell>
          <cell r="H272" t="str">
            <v>23.00</v>
          </cell>
          <cell r="I272" t="str">
            <v>ear</v>
          </cell>
          <cell r="J272"/>
          <cell r="K272"/>
          <cell r="L272"/>
          <cell r="M272" t="str">
            <v>https://dev.azure.com/realeitesorg/it.grma.claims/_build?definitionId=1924</v>
          </cell>
          <cell r="AB272"/>
        </row>
        <row r="273">
          <cell r="A273" t="str">
            <v>X_PROD</v>
          </cell>
          <cell r="B273" t="str">
            <v>QUADIENT</v>
          </cell>
          <cell r="C273" t="str">
            <v>Rocca</v>
          </cell>
          <cell r="D273" t="str">
            <v>Rilascio Quadient</v>
          </cell>
          <cell r="E273" t="str">
            <v>Quadient</v>
          </cell>
          <cell r="F273" t="str">
            <v>Azure Devops</v>
          </cell>
          <cell r="G273" t="str">
            <v>it.ites.quadient</v>
          </cell>
          <cell r="H273" t="str">
            <v>6.00</v>
          </cell>
          <cell r="I273" t="str">
            <v>ear</v>
          </cell>
          <cell r="J273"/>
          <cell r="K273"/>
          <cell r="L273"/>
          <cell r="M273" t="str">
            <v>https://dev.azure.com/realeitesorg/it.ites.quadient/_build?definitionId=651</v>
          </cell>
          <cell r="AB273"/>
        </row>
        <row r="274">
          <cell r="A274"/>
          <cell r="B274"/>
          <cell r="C274"/>
          <cell r="E274"/>
          <cell r="F274"/>
        </row>
        <row r="275">
          <cell r="A275"/>
          <cell r="B275"/>
          <cell r="C275"/>
          <cell r="E275"/>
          <cell r="F275"/>
        </row>
        <row r="276">
          <cell r="A276"/>
          <cell r="B276"/>
          <cell r="C276"/>
          <cell r="E276"/>
          <cell r="F276"/>
        </row>
        <row r="277">
          <cell r="A277"/>
          <cell r="B277"/>
          <cell r="C277"/>
          <cell r="E277"/>
          <cell r="F277"/>
        </row>
        <row r="278">
          <cell r="A278"/>
          <cell r="B278"/>
          <cell r="C278"/>
          <cell r="E278"/>
          <cell r="F278"/>
        </row>
        <row r="279">
          <cell r="A279"/>
          <cell r="B279"/>
          <cell r="C279"/>
          <cell r="E279"/>
          <cell r="F279"/>
        </row>
        <row r="280">
          <cell r="A280"/>
          <cell r="B280"/>
          <cell r="C280"/>
          <cell r="E280"/>
          <cell r="F280"/>
        </row>
        <row r="281">
          <cell r="A281"/>
          <cell r="B281"/>
          <cell r="C281"/>
          <cell r="E281"/>
          <cell r="F281"/>
        </row>
        <row r="282">
          <cell r="A282"/>
          <cell r="B282"/>
          <cell r="C282"/>
          <cell r="E282"/>
          <cell r="F282"/>
        </row>
        <row r="283">
          <cell r="A283"/>
          <cell r="B283"/>
          <cell r="C283"/>
          <cell r="E283"/>
          <cell r="F283"/>
        </row>
        <row r="284">
          <cell r="A284"/>
          <cell r="B284"/>
          <cell r="C284"/>
          <cell r="E284"/>
          <cell r="F284"/>
        </row>
        <row r="285">
          <cell r="A285"/>
          <cell r="B285"/>
          <cell r="C285"/>
          <cell r="E285"/>
          <cell r="F285"/>
        </row>
        <row r="286">
          <cell r="A286"/>
          <cell r="B286"/>
          <cell r="C286"/>
          <cell r="E286"/>
          <cell r="F286"/>
        </row>
        <row r="287">
          <cell r="A287"/>
          <cell r="B287"/>
          <cell r="C287"/>
          <cell r="E287"/>
          <cell r="F287"/>
        </row>
        <row r="288">
          <cell r="A288"/>
          <cell r="B288"/>
          <cell r="C288"/>
          <cell r="E288"/>
          <cell r="F288"/>
        </row>
        <row r="289">
          <cell r="A289"/>
          <cell r="B289"/>
          <cell r="C289"/>
          <cell r="E289"/>
          <cell r="F289"/>
        </row>
        <row r="290">
          <cell r="A290"/>
          <cell r="B290"/>
          <cell r="C290"/>
          <cell r="E290"/>
          <cell r="F290"/>
        </row>
        <row r="291">
          <cell r="A291"/>
          <cell r="B291"/>
          <cell r="C291"/>
          <cell r="E291"/>
          <cell r="F291"/>
        </row>
        <row r="292">
          <cell r="A292"/>
          <cell r="B292"/>
          <cell r="C292"/>
          <cell r="E292"/>
          <cell r="F292"/>
        </row>
        <row r="293">
          <cell r="A293"/>
          <cell r="B293"/>
          <cell r="C293"/>
          <cell r="E293"/>
          <cell r="F293"/>
        </row>
        <row r="294">
          <cell r="A294"/>
          <cell r="B294"/>
          <cell r="C294"/>
          <cell r="E294"/>
          <cell r="F294"/>
        </row>
        <row r="295">
          <cell r="A295"/>
          <cell r="B295"/>
          <cell r="C295"/>
          <cell r="E295"/>
          <cell r="F295"/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INZwOY2zIkGq6aQKXGK77fyu1D_1EbVJoxJrh79JMXadJKtIMpxATZx51oRrJO6A" itemId="01VKLZTMAFCSQJRUPF55BJSRSH2CV3BQW3">
      <xxl21:absoluteUrl r:id="rId2"/>
    </xxl21:alternateUrls>
    <sheetNames>
      <sheetName val="Dettaglio SR"/>
    </sheetNames>
    <sheetDataSet>
      <sheetData sheetId="0">
        <row r="1">
          <cell r="A1" t="str">
            <v>Code Application</v>
          </cell>
          <cell r="B1" t="str">
            <v>Package IKAN ALM - Pipeleine AZURE DEVOPS - Others</v>
          </cell>
          <cell r="C1" t="str">
            <v>Change EV</v>
          </cell>
          <cell r="D1" t="str">
            <v>Responsabile/Team</v>
          </cell>
          <cell r="E1" t="str">
            <v>DescriptionRDMA</v>
          </cell>
          <cell r="F1" t="str">
            <v>Application</v>
          </cell>
          <cell r="G1" t="str">
            <v>Deploy Mode</v>
          </cell>
          <cell r="H1" t="str">
            <v>LINK PIPELINE</v>
          </cell>
          <cell r="I1" t="str">
            <v>Project</v>
          </cell>
          <cell r="J1" t="str">
            <v>Scheduling time Production</v>
          </cell>
          <cell r="K1" t="str">
            <v>Type</v>
          </cell>
          <cell r="L1" t="str">
            <v>N° SERVICE REQUEST</v>
          </cell>
        </row>
        <row r="2">
          <cell r="A2" t="str">
            <v>Db AIA</v>
          </cell>
          <cell r="B2" t="str">
            <v>Service Request</v>
          </cell>
          <cell r="C2" t="str">
            <v>AIA</v>
          </cell>
          <cell r="D2" t="str">
            <v>Colombo</v>
          </cell>
          <cell r="E2" t="str">
            <v>Attività su DB AIA</v>
          </cell>
          <cell r="F2" t="str">
            <v>AIA</v>
          </cell>
          <cell r="G2" t="str">
            <v>Scheduled by DBA</v>
          </cell>
          <cell r="H2"/>
          <cell r="I2"/>
          <cell r="J2" t="str">
            <v>18.30</v>
          </cell>
          <cell r="K2" t="str">
            <v>Oracle</v>
          </cell>
          <cell r="L2"/>
        </row>
        <row r="3">
          <cell r="A3" t="str">
            <v>Db Anagrafe</v>
          </cell>
          <cell r="B3" t="str">
            <v>Service Request</v>
          </cell>
          <cell r="C3"/>
          <cell r="D3" t="str">
            <v>Bugni Batte</v>
          </cell>
          <cell r="E3" t="str">
            <v>AttivitàSu DB Anagrafe</v>
          </cell>
          <cell r="F3"/>
          <cell r="G3" t="str">
            <v>Scheduled by DBA</v>
          </cell>
          <cell r="H3"/>
          <cell r="I3"/>
          <cell r="J3"/>
          <cell r="K3" t="str">
            <v>Oracle</v>
          </cell>
          <cell r="L3"/>
        </row>
        <row r="4">
          <cell r="A4" t="str">
            <v>Db AUTO Pass Prodotti/Pass Doc</v>
          </cell>
          <cell r="B4" t="str">
            <v>Ese -Service Request</v>
          </cell>
          <cell r="C4" t="str">
            <v>PASS MULTICANALITÀ</v>
          </cell>
          <cell r="D4" t="str">
            <v>Treno Danni</v>
          </cell>
          <cell r="E4" t="str">
            <v>Ribaltamento Pass Prodotti/Doc AUTO</v>
          </cell>
          <cell r="F4" t="str">
            <v>Pass Auto</v>
          </cell>
          <cell r="G4" t="str">
            <v>Scheduled by DBA</v>
          </cell>
          <cell r="H4"/>
          <cell r="I4"/>
          <cell r="J4"/>
          <cell r="K4" t="str">
            <v>Oracle</v>
          </cell>
          <cell r="L4"/>
        </row>
        <row r="5">
          <cell r="A5" t="str">
            <v>Db Auto Sigea SV</v>
          </cell>
          <cell r="B5" t="str">
            <v>Service Request</v>
          </cell>
          <cell r="C5"/>
          <cell r="D5" t="str">
            <v/>
          </cell>
          <cell r="E5"/>
          <cell r="F5"/>
          <cell r="G5" t="str">
            <v>Scheduled by DBA</v>
          </cell>
          <cell r="H5"/>
          <cell r="I5"/>
          <cell r="J5"/>
          <cell r="K5" t="str">
            <v>Oracle</v>
          </cell>
          <cell r="L5"/>
        </row>
        <row r="6">
          <cell r="A6" t="str">
            <v>Db BLAY 1/3</v>
          </cell>
          <cell r="B6" t="str">
            <v>Service Request</v>
          </cell>
          <cell r="C6" t="str">
            <v>PASS MULTICANALITÀ</v>
          </cell>
          <cell r="D6" t="str">
            <v>Treno Danni</v>
          </cell>
          <cell r="E6" t="str">
            <v>Script 7BLAYER</v>
          </cell>
          <cell r="F6" t="str">
            <v>Multicanalità - Business Layer</v>
          </cell>
          <cell r="G6" t="str">
            <v>Scheduled by DBA</v>
          </cell>
          <cell r="H6"/>
          <cell r="I6"/>
          <cell r="J6"/>
          <cell r="K6" t="str">
            <v>Oracle</v>
          </cell>
          <cell r="L6"/>
        </row>
        <row r="7">
          <cell r="A7" t="str">
            <v>Db BOA</v>
          </cell>
          <cell r="B7" t="str">
            <v>Service Request</v>
          </cell>
          <cell r="C7"/>
          <cell r="D7" t="str">
            <v>Team agile BOA-F10</v>
          </cell>
          <cell r="E7" t="str">
            <v>AttivitàSu DB Connect@ - CONNECTSCRIPTSQL</v>
          </cell>
          <cell r="F7"/>
          <cell r="G7" t="str">
            <v>Scheduled by DBA</v>
          </cell>
          <cell r="H7"/>
          <cell r="I7"/>
          <cell r="J7"/>
          <cell r="K7" t="str">
            <v>Oracle</v>
          </cell>
          <cell r="L7"/>
        </row>
        <row r="8">
          <cell r="A8" t="str">
            <v>Db CARD2017</v>
          </cell>
          <cell r="B8" t="str">
            <v>Service Request</v>
          </cell>
          <cell r="C8"/>
          <cell r="D8" t="str">
            <v>Treno Sinistri</v>
          </cell>
          <cell r="E8" t="str">
            <v>Modifiche DB CARD2017</v>
          </cell>
          <cell r="F8" t="str">
            <v>SinistriWeb - Batch</v>
          </cell>
          <cell r="G8" t="str">
            <v>Scheduled by DBA</v>
          </cell>
          <cell r="H8"/>
          <cell r="I8"/>
          <cell r="J8"/>
          <cell r="K8" t="str">
            <v>Oracle</v>
          </cell>
          <cell r="L8"/>
        </row>
        <row r="9">
          <cell r="A9" t="str">
            <v>db CRM</v>
          </cell>
          <cell r="B9" t="str">
            <v>Service Request</v>
          </cell>
          <cell r="C9"/>
          <cell r="D9" t="str">
            <v>Bugni Batte</v>
          </cell>
          <cell r="E9" t="str">
            <v>AttivitàSu DB CRM</v>
          </cell>
          <cell r="F9"/>
          <cell r="G9" t="str">
            <v>Scheduled by DBA</v>
          </cell>
          <cell r="H9"/>
          <cell r="I9"/>
          <cell r="J9"/>
          <cell r="K9" t="str">
            <v>Oracle</v>
          </cell>
          <cell r="L9"/>
        </row>
        <row r="10">
          <cell r="A10" t="str">
            <v>Db DW01A</v>
          </cell>
          <cell r="B10" t="str">
            <v>Service Request</v>
          </cell>
          <cell r="C10"/>
          <cell r="D10" t="str">
            <v>Cauda</v>
          </cell>
          <cell r="E10" t="str">
            <v>AttivitàSu DB DW</v>
          </cell>
          <cell r="F10" t="str">
            <v>EDW - Estrattori</v>
          </cell>
          <cell r="G10" t="str">
            <v>Scheduled by DBA</v>
          </cell>
          <cell r="H10"/>
          <cell r="I10"/>
          <cell r="J10"/>
          <cell r="K10" t="str">
            <v>Oracle</v>
          </cell>
          <cell r="L10"/>
        </row>
        <row r="11">
          <cell r="A11" t="str">
            <v xml:space="preserve">Db Edi </v>
          </cell>
          <cell r="B11" t="str">
            <v>Service Request</v>
          </cell>
          <cell r="C11"/>
          <cell r="D11" t="str">
            <v>Colombo</v>
          </cell>
          <cell r="E11" t="str">
            <v>Rilascio DB Ediweb</v>
          </cell>
          <cell r="F11" t="str">
            <v>EdiWeb</v>
          </cell>
          <cell r="G11" t="str">
            <v>Scheduled by DBA</v>
          </cell>
          <cell r="H11"/>
          <cell r="I11"/>
          <cell r="J11"/>
          <cell r="K11" t="str">
            <v>Sql</v>
          </cell>
          <cell r="L11"/>
        </row>
        <row r="12">
          <cell r="A12" t="str">
            <v>Db FATTPA</v>
          </cell>
          <cell r="B12" t="str">
            <v>Service Request</v>
          </cell>
          <cell r="C12"/>
          <cell r="D12" t="str">
            <v/>
          </cell>
          <cell r="E12"/>
          <cell r="F12"/>
          <cell r="G12" t="str">
            <v>Scheduled by DBA</v>
          </cell>
          <cell r="H12"/>
          <cell r="I12"/>
          <cell r="J12"/>
          <cell r="K12" t="str">
            <v>Sql</v>
          </cell>
          <cell r="L12"/>
        </row>
        <row r="13">
          <cell r="A13" t="str">
            <v>Db Firma Web Service</v>
          </cell>
          <cell r="B13" t="str">
            <v>Service Request</v>
          </cell>
          <cell r="C13" t="str">
            <v>FIRMA DIGITALE</v>
          </cell>
          <cell r="D13" t="str">
            <v>Rocca</v>
          </cell>
          <cell r="E13" t="str">
            <v>Script Firma Web</v>
          </cell>
          <cell r="F13" t="str">
            <v>FirmaWeb</v>
          </cell>
          <cell r="G13" t="str">
            <v>Scheduled by DBA</v>
          </cell>
          <cell r="H13"/>
          <cell r="I13"/>
          <cell r="J13"/>
          <cell r="K13" t="str">
            <v>Sql</v>
          </cell>
          <cell r="L13"/>
        </row>
        <row r="14">
          <cell r="A14" t="str">
            <v>Db FLEXCOMM</v>
          </cell>
          <cell r="B14" t="str">
            <v>Service Request</v>
          </cell>
          <cell r="C14"/>
          <cell r="D14" t="str">
            <v>Treno Danni</v>
          </cell>
          <cell r="E14" t="str">
            <v>AttivitàSu DB FLEXCOMM</v>
          </cell>
          <cell r="F14"/>
          <cell r="G14" t="str">
            <v>Scheduled by DBA</v>
          </cell>
          <cell r="H14"/>
          <cell r="I14"/>
          <cell r="J14"/>
          <cell r="K14" t="str">
            <v>Sql</v>
          </cell>
          <cell r="L14"/>
        </row>
        <row r="15">
          <cell r="A15" t="str">
            <v>Db GECO</v>
          </cell>
          <cell r="B15" t="str">
            <v>Service Request</v>
          </cell>
          <cell r="C15"/>
          <cell r="D15" t="str">
            <v>Bugni Batte</v>
          </cell>
          <cell r="E15" t="str">
            <v>AttivitàSu DB GeCo</v>
          </cell>
          <cell r="F15" t="str">
            <v>Gestione Collaboratori</v>
          </cell>
          <cell r="G15" t="str">
            <v>Scheduled by DBA</v>
          </cell>
          <cell r="H15"/>
          <cell r="I15"/>
          <cell r="J15"/>
          <cell r="K15" t="str">
            <v>Oracle</v>
          </cell>
          <cell r="L15"/>
        </row>
        <row r="16">
          <cell r="A16" t="str">
            <v xml:space="preserve">Db GNR01A </v>
          </cell>
          <cell r="B16" t="str">
            <v>Service Request</v>
          </cell>
          <cell r="C16" t="str">
            <v>OMNIAINSURANCE</v>
          </cell>
          <cell r="D16" t="str">
            <v>Treno Danni</v>
          </cell>
          <cell r="E16" t="str">
            <v>Script GNR01A</v>
          </cell>
          <cell r="F16" t="str">
            <v>OmniaInsurance</v>
          </cell>
          <cell r="G16" t="str">
            <v>Scheduled by DBA</v>
          </cell>
          <cell r="H16"/>
          <cell r="I16"/>
          <cell r="J16"/>
          <cell r="K16" t="str">
            <v>Sql</v>
          </cell>
          <cell r="L16"/>
        </row>
        <row r="17">
          <cell r="A17" t="str">
            <v>Db GPA</v>
          </cell>
          <cell r="B17" t="str">
            <v>Service Request</v>
          </cell>
          <cell r="C17"/>
          <cell r="D17" t="str">
            <v/>
          </cell>
          <cell r="E17"/>
          <cell r="F17"/>
          <cell r="G17" t="str">
            <v>Scheduled by DBA</v>
          </cell>
          <cell r="H17"/>
          <cell r="I17"/>
          <cell r="J17"/>
          <cell r="K17" t="str">
            <v>Sql</v>
          </cell>
          <cell r="L17"/>
        </row>
        <row r="18">
          <cell r="A18" t="str">
            <v>Db HA</v>
          </cell>
          <cell r="B18" t="str">
            <v>Service Request</v>
          </cell>
          <cell r="C18"/>
          <cell r="D18" t="str">
            <v>Garcia Rodriguez</v>
          </cell>
          <cell r="E18" t="str">
            <v>ScriptSu db HR</v>
          </cell>
          <cell r="F18"/>
          <cell r="G18" t="str">
            <v>Scheduled by DBA</v>
          </cell>
          <cell r="H18"/>
          <cell r="I18"/>
          <cell r="J18"/>
          <cell r="K18" t="str">
            <v>Oracle</v>
          </cell>
          <cell r="L18"/>
        </row>
        <row r="19">
          <cell r="A19" t="str">
            <v>Db ICM Rivalse</v>
          </cell>
          <cell r="B19" t="str">
            <v>Service Request</v>
          </cell>
          <cell r="C19"/>
          <cell r="D19" t="str">
            <v>Vitiello</v>
          </cell>
          <cell r="E19" t="str">
            <v>AttivitàSu DB per ICMRivalse</v>
          </cell>
          <cell r="F19"/>
          <cell r="G19" t="str">
            <v>Scheduled by DBA</v>
          </cell>
          <cell r="H19"/>
          <cell r="I19"/>
          <cell r="J19"/>
          <cell r="K19" t="str">
            <v>Oracle</v>
          </cell>
          <cell r="L19"/>
        </row>
        <row r="20">
          <cell r="A20" t="str">
            <v>DB Jestweb</v>
          </cell>
          <cell r="B20" t="str">
            <v>Service Request</v>
          </cell>
          <cell r="C20" t="str">
            <v>JESTWEB</v>
          </cell>
          <cell r="D20" t="str">
            <v>Treno Danni</v>
          </cell>
          <cell r="E20" t="str">
            <v>Script Jestweb</v>
          </cell>
          <cell r="F20" t="str">
            <v>Carrozzerie - JestWeb</v>
          </cell>
          <cell r="G20" t="str">
            <v>Scheduled by DBA</v>
          </cell>
          <cell r="H20"/>
          <cell r="I20"/>
          <cell r="J20"/>
          <cell r="K20" t="str">
            <v>Sql</v>
          </cell>
          <cell r="L20"/>
        </row>
        <row r="21">
          <cell r="A21" t="str">
            <v>DB LMUP</v>
          </cell>
          <cell r="B21" t="str">
            <v>Service Request</v>
          </cell>
          <cell r="C21"/>
          <cell r="D21" t="str">
            <v>Treno Danni</v>
          </cell>
          <cell r="E21" t="str">
            <v>Script LMUP</v>
          </cell>
          <cell r="F21" t="str">
            <v>LMUP</v>
          </cell>
          <cell r="G21" t="str">
            <v>Scheduled by DBA</v>
          </cell>
          <cell r="H21"/>
          <cell r="I21"/>
          <cell r="J21"/>
          <cell r="K21" t="str">
            <v>Sql</v>
          </cell>
          <cell r="L21"/>
        </row>
        <row r="22">
          <cell r="A22" t="str">
            <v>Db Oreste</v>
          </cell>
          <cell r="B22" t="str">
            <v>Service Request</v>
          </cell>
          <cell r="C22"/>
          <cell r="D22" t="str">
            <v>Ruella</v>
          </cell>
          <cell r="E22" t="str">
            <v>Script OReste</v>
          </cell>
          <cell r="F22"/>
          <cell r="G22" t="str">
            <v>Scheduled by DBA</v>
          </cell>
          <cell r="H22"/>
          <cell r="I22"/>
          <cell r="J22"/>
          <cell r="K22" t="str">
            <v>Oracle</v>
          </cell>
          <cell r="L22"/>
        </row>
        <row r="23">
          <cell r="A23" t="str">
            <v>Db PASAU 1/3</v>
          </cell>
          <cell r="B23" t="str">
            <v>Service Request</v>
          </cell>
          <cell r="C23" t="str">
            <v>PASS AUTO</v>
          </cell>
          <cell r="D23" t="str">
            <v>Treno Danni</v>
          </cell>
          <cell r="E23" t="str">
            <v>Script PassAuto</v>
          </cell>
          <cell r="F23" t="str">
            <v>Pass Auto</v>
          </cell>
          <cell r="G23" t="str">
            <v>Scheduled by DBA</v>
          </cell>
          <cell r="H23" t="str">
            <v>pasau_CORRETTIVA</v>
          </cell>
          <cell r="I23" t="str">
            <v>it.grma.rdna</v>
          </cell>
          <cell r="J23" t="str">
            <v>23.00</v>
          </cell>
          <cell r="K23" t="str">
            <v>Oracle</v>
          </cell>
          <cell r="L23"/>
        </row>
        <row r="24">
          <cell r="A24" t="str">
            <v>Db PASON</v>
          </cell>
          <cell r="B24" t="str">
            <v>Service Request</v>
          </cell>
          <cell r="C24" t="str">
            <v>PASS MULTICANALITÀ</v>
          </cell>
          <cell r="D24" t="str">
            <v>Treno Danni</v>
          </cell>
          <cell r="E24" t="str">
            <v>Script PASON</v>
          </cell>
          <cell r="F24" t="str">
            <v>Pass RE</v>
          </cell>
          <cell r="G24" t="str">
            <v>Scheduled by DBA</v>
          </cell>
          <cell r="H24"/>
          <cell r="I24"/>
          <cell r="J24"/>
          <cell r="K24" t="str">
            <v>Oracle</v>
          </cell>
          <cell r="L24"/>
        </row>
        <row r="25">
          <cell r="A25" t="str">
            <v>Db PASPO</v>
          </cell>
          <cell r="B25" t="str">
            <v>Service Request</v>
          </cell>
          <cell r="C25" t="str">
            <v>PASS AUTO</v>
          </cell>
          <cell r="D25" t="str">
            <v>Treno Danni</v>
          </cell>
          <cell r="E25" t="str">
            <v>Script Pass Portal</v>
          </cell>
          <cell r="F25" t="str">
            <v>Pass Auto</v>
          </cell>
          <cell r="G25" t="str">
            <v>Scheduled by DBA</v>
          </cell>
          <cell r="H25"/>
          <cell r="I25"/>
          <cell r="J25"/>
          <cell r="K25" t="str">
            <v>Oracle</v>
          </cell>
          <cell r="L25"/>
        </row>
        <row r="26">
          <cell r="A26" t="str">
            <v>Db POQ</v>
          </cell>
          <cell r="B26" t="str">
            <v>Service Request</v>
          </cell>
          <cell r="C26"/>
          <cell r="D26" t="str">
            <v>Treno Danni</v>
          </cell>
          <cell r="E26" t="str">
            <v>Script POQ</v>
          </cell>
          <cell r="F26"/>
          <cell r="G26" t="str">
            <v>Scheduled by DBA</v>
          </cell>
          <cell r="H26"/>
          <cell r="I26"/>
          <cell r="J26"/>
          <cell r="K26" t="str">
            <v>Oracle</v>
          </cell>
          <cell r="L26"/>
        </row>
        <row r="27">
          <cell r="A27" t="str">
            <v>Db PortColl</v>
          </cell>
          <cell r="B27" t="str">
            <v>Service Request</v>
          </cell>
          <cell r="C27"/>
          <cell r="D27" t="str">
            <v>Treno Sinistri</v>
          </cell>
          <cell r="E27" t="str">
            <v>AttivitàSu DB Portale Collaboratori</v>
          </cell>
          <cell r="F27" t="str">
            <v>Portale Collaboratori</v>
          </cell>
          <cell r="G27" t="str">
            <v>Scheduled by DBA</v>
          </cell>
          <cell r="H27"/>
          <cell r="I27"/>
          <cell r="J27"/>
          <cell r="K27" t="str">
            <v>Oracle</v>
          </cell>
          <cell r="L27"/>
        </row>
        <row r="28">
          <cell r="A28" t="str">
            <v>DB PPEVO</v>
          </cell>
          <cell r="B28" t="str">
            <v>Service Request</v>
          </cell>
          <cell r="C28"/>
          <cell r="D28" t="str">
            <v>Treno Danni</v>
          </cell>
          <cell r="E28" t="str">
            <v>Script  PPEVO</v>
          </cell>
          <cell r="F28"/>
          <cell r="G28" t="str">
            <v>Scheduled by DBA</v>
          </cell>
          <cell r="H28"/>
          <cell r="I28"/>
          <cell r="J28"/>
          <cell r="K28" t="str">
            <v>Oracle</v>
          </cell>
          <cell r="L28"/>
        </row>
        <row r="29">
          <cell r="A29" t="str">
            <v>Db promote PPEVO</v>
          </cell>
          <cell r="B29" t="str">
            <v>Service Request</v>
          </cell>
          <cell r="C29" t="str">
            <v>PASS MULTICANALITÀ</v>
          </cell>
          <cell r="D29" t="str">
            <v>Treno Danni</v>
          </cell>
          <cell r="E29" t="str">
            <v>Script Promote PPEVO</v>
          </cell>
          <cell r="F29" t="str">
            <v>PPEVO</v>
          </cell>
          <cell r="G29" t="str">
            <v>Scheduled by DBA</v>
          </cell>
          <cell r="H29"/>
          <cell r="I29"/>
          <cell r="J29"/>
          <cell r="K29" t="str">
            <v>Oracle</v>
          </cell>
          <cell r="L29"/>
        </row>
        <row r="30">
          <cell r="A30" t="str">
            <v>DB Qiss</v>
          </cell>
          <cell r="B30" t="str">
            <v>Service Request</v>
          </cell>
          <cell r="C30"/>
          <cell r="D30" t="str">
            <v>Grilli</v>
          </cell>
          <cell r="E30" t="str">
            <v>Script Qiss</v>
          </cell>
          <cell r="F30" t="str">
            <v>QISS</v>
          </cell>
          <cell r="G30" t="str">
            <v>Scheduled by DBA</v>
          </cell>
          <cell r="H30"/>
          <cell r="I30"/>
          <cell r="J30"/>
          <cell r="K30" t="str">
            <v>Oracle</v>
          </cell>
          <cell r="L30"/>
        </row>
        <row r="31">
          <cell r="A31" t="str">
            <v>DB QUADIENT</v>
          </cell>
          <cell r="B31" t="str">
            <v>Service Request</v>
          </cell>
          <cell r="C31"/>
          <cell r="D31" t="str">
            <v>Rocca</v>
          </cell>
          <cell r="E31" t="str">
            <v>Modifiche DB Quadient</v>
          </cell>
          <cell r="F31" t="str">
            <v>Quadient</v>
          </cell>
          <cell r="G31" t="str">
            <v>Scheduled by DBA</v>
          </cell>
          <cell r="H31"/>
          <cell r="I31"/>
          <cell r="J31"/>
          <cell r="K31" t="str">
            <v>Sql</v>
          </cell>
          <cell r="L31"/>
        </row>
        <row r="32">
          <cell r="A32" t="str">
            <v>Db RE Pass Prodotti/Pass Doc</v>
          </cell>
          <cell r="B32" t="str">
            <v>Ese -Service Request</v>
          </cell>
          <cell r="C32"/>
          <cell r="D32" t="str">
            <v>Treno Danni</v>
          </cell>
          <cell r="E32" t="str">
            <v>Ribaltamento Pass Prodotti/Doc RE</v>
          </cell>
          <cell r="F32" t="str">
            <v>Pass RE</v>
          </cell>
          <cell r="G32" t="str">
            <v>Scheduled by DBA</v>
          </cell>
          <cell r="H32"/>
          <cell r="I32"/>
          <cell r="J32"/>
          <cell r="K32" t="str">
            <v>Oracle</v>
          </cell>
          <cell r="L32"/>
        </row>
        <row r="33">
          <cell r="A33" t="str">
            <v>Db Riassi</v>
          </cell>
          <cell r="B33" t="str">
            <v>Service Request</v>
          </cell>
          <cell r="C33"/>
          <cell r="D33" t="str">
            <v>Pavia</v>
          </cell>
          <cell r="E33" t="str">
            <v>Riassicurazioni .Attività DB</v>
          </cell>
          <cell r="F33" t="str">
            <v>SICS</v>
          </cell>
          <cell r="G33" t="str">
            <v>Scheduled by DBA</v>
          </cell>
          <cell r="H33"/>
          <cell r="I33"/>
          <cell r="J33"/>
          <cell r="K33" t="str">
            <v>Oracle</v>
          </cell>
          <cell r="L33"/>
        </row>
        <row r="34">
          <cell r="A34" t="str">
            <v>Db Ribes</v>
          </cell>
          <cell r="B34" t="str">
            <v>Service Request</v>
          </cell>
          <cell r="C34"/>
          <cell r="D34" t="str">
            <v>Vitiello</v>
          </cell>
          <cell r="E34" t="str">
            <v>AttivitàSu DBRIBES</v>
          </cell>
          <cell r="F34" t="str">
            <v>Ribes</v>
          </cell>
          <cell r="G34" t="str">
            <v>Scheduled by DBA</v>
          </cell>
          <cell r="H34"/>
          <cell r="I34"/>
          <cell r="J34"/>
          <cell r="K34" t="str">
            <v>Oracle</v>
          </cell>
          <cell r="L34"/>
        </row>
        <row r="35">
          <cell r="A35" t="str">
            <v>Db SG01A</v>
          </cell>
          <cell r="B35" t="str">
            <v>Service Request</v>
          </cell>
          <cell r="C35"/>
          <cell r="D35" t="str">
            <v>Bugni batte</v>
          </cell>
          <cell r="E35" t="str">
            <v>Ribaltamento da PreProdA Esercizio</v>
          </cell>
          <cell r="F35"/>
          <cell r="G35" t="str">
            <v>Scheduled by DBA</v>
          </cell>
          <cell r="H35"/>
          <cell r="I35"/>
          <cell r="J35"/>
          <cell r="K35" t="str">
            <v>Oracle</v>
          </cell>
          <cell r="L35"/>
        </row>
        <row r="36">
          <cell r="A36" t="str">
            <v>Db SIGEA SINISTRI</v>
          </cell>
          <cell r="B36" t="str">
            <v>Service Request</v>
          </cell>
          <cell r="C36"/>
          <cell r="D36" t="str">
            <v>Treno Sinistri</v>
          </cell>
          <cell r="E36" t="str">
            <v>Modifiche DBSigeaSinistri</v>
          </cell>
          <cell r="F36" t="str">
            <v>SIGEA Sinistri</v>
          </cell>
          <cell r="G36" t="str">
            <v>Scheduled by DBA</v>
          </cell>
          <cell r="H36"/>
          <cell r="I36"/>
          <cell r="J36"/>
          <cell r="K36" t="str">
            <v>Oracle</v>
          </cell>
          <cell r="L36"/>
        </row>
        <row r="37">
          <cell r="A37" t="str">
            <v>Db SSWEB</v>
          </cell>
          <cell r="B37" t="str">
            <v>Service Request</v>
          </cell>
          <cell r="C37"/>
          <cell r="D37" t="str">
            <v>Treno Sinistri</v>
          </cell>
          <cell r="E37" t="str">
            <v>Modifiche DBSinistri Web</v>
          </cell>
          <cell r="F37" t="str">
            <v>SinistriWeb</v>
          </cell>
          <cell r="G37" t="str">
            <v>Scheduled by DBA</v>
          </cell>
          <cell r="H37"/>
          <cell r="I37"/>
          <cell r="J37"/>
          <cell r="K37" t="str">
            <v>Oracle</v>
          </cell>
          <cell r="L37"/>
        </row>
        <row r="38">
          <cell r="A38" t="str">
            <v>Db VIS</v>
          </cell>
          <cell r="B38" t="str">
            <v>Service Request</v>
          </cell>
          <cell r="C38"/>
          <cell r="D38" t="str">
            <v>Colombo</v>
          </cell>
          <cell r="E38" t="str">
            <v>Rilascio DB VIS</v>
          </cell>
          <cell r="F38" t="str">
            <v>VIS</v>
          </cell>
          <cell r="G38" t="str">
            <v>Scheduled by DBA</v>
          </cell>
          <cell r="H38"/>
          <cell r="I38"/>
          <cell r="J38"/>
          <cell r="K38" t="str">
            <v>Oracle</v>
          </cell>
          <cell r="L38"/>
        </row>
        <row r="39">
          <cell r="A39" t="str">
            <v>GRMASCAN</v>
          </cell>
          <cell r="B39" t="str">
            <v>No Service Request (ingaggiare il gruppo RADIA per la Produzione)</v>
          </cell>
          <cell r="C39"/>
          <cell r="D39" t="str">
            <v>Rocca</v>
          </cell>
          <cell r="E39" t="str">
            <v>Rilascio GRMASCAN per GestioneRadia / Distribution</v>
          </cell>
          <cell r="F39" t="str">
            <v>GRMA Scan</v>
          </cell>
          <cell r="G39" t="str">
            <v>Scheduled by RADIA</v>
          </cell>
          <cell r="H39"/>
          <cell r="I39"/>
          <cell r="J39"/>
          <cell r="K39"/>
          <cell r="L39"/>
        </row>
        <row r="40">
          <cell r="A40" t="str">
            <v>Lin 6ANAG</v>
          </cell>
          <cell r="B40" t="str">
            <v>Service Request</v>
          </cell>
          <cell r="C40"/>
          <cell r="D40" t="str">
            <v/>
          </cell>
          <cell r="E40"/>
          <cell r="F40"/>
          <cell r="G40" t="str">
            <v>Manual by HD2-UNIX</v>
          </cell>
          <cell r="H40"/>
          <cell r="I40"/>
          <cell r="J40"/>
          <cell r="K40" t="str">
            <v>Linux</v>
          </cell>
          <cell r="L40"/>
        </row>
        <row r="41">
          <cell r="A41" t="str">
            <v>Lin 6SSWEB</v>
          </cell>
          <cell r="B41" t="str">
            <v>Service Request</v>
          </cell>
          <cell r="C41"/>
          <cell r="D41" t="str">
            <v/>
          </cell>
          <cell r="E41"/>
          <cell r="F41"/>
          <cell r="G41" t="str">
            <v>Manual by HD2-UNIX</v>
          </cell>
          <cell r="H41"/>
          <cell r="I41"/>
          <cell r="J41"/>
          <cell r="K41" t="str">
            <v>Linux</v>
          </cell>
          <cell r="L41"/>
        </row>
        <row r="42">
          <cell r="A42" t="str">
            <v>Lin ABMON</v>
          </cell>
          <cell r="B42" t="str">
            <v>Service Request</v>
          </cell>
          <cell r="C42" t="str">
            <v>SIGEA AUTO</v>
          </cell>
          <cell r="D42" t="str">
            <v>Rogna</v>
          </cell>
          <cell r="E42" t="str">
            <v>Modifica linux ABMON3</v>
          </cell>
          <cell r="F42" t="str">
            <v>Affinity Batch Monitor</v>
          </cell>
          <cell r="G42" t="str">
            <v>Manual by HD2-UNIX</v>
          </cell>
          <cell r="H42"/>
          <cell r="I42"/>
          <cell r="J42"/>
          <cell r="K42" t="str">
            <v>Linux</v>
          </cell>
          <cell r="L42"/>
        </row>
        <row r="43">
          <cell r="A43" t="str">
            <v>Lin Card</v>
          </cell>
          <cell r="B43" t="str">
            <v>Service Request</v>
          </cell>
          <cell r="C43"/>
          <cell r="D43" t="str">
            <v>Treno Sinistri</v>
          </cell>
          <cell r="E43" t="str">
            <v>Attività linux CARD</v>
          </cell>
          <cell r="F43" t="str">
            <v>SinistriWeb - Batch</v>
          </cell>
          <cell r="G43" t="str">
            <v>Manual by HD2-UNIX</v>
          </cell>
          <cell r="H43"/>
          <cell r="I43"/>
          <cell r="J43"/>
          <cell r="K43" t="str">
            <v>Linux</v>
          </cell>
          <cell r="L43"/>
        </row>
        <row r="44">
          <cell r="A44" t="str">
            <v>Lin DW0</v>
          </cell>
          <cell r="B44" t="str">
            <v>Service Request</v>
          </cell>
          <cell r="C44"/>
          <cell r="D44" t="str">
            <v>Cauda</v>
          </cell>
          <cell r="E44" t="str">
            <v>Attività linux EDW</v>
          </cell>
          <cell r="F44" t="str">
            <v>EDW - Estrattori</v>
          </cell>
          <cell r="G44" t="str">
            <v>Manual by HD2-UNIX</v>
          </cell>
          <cell r="H44"/>
          <cell r="I44"/>
          <cell r="J44"/>
          <cell r="K44" t="str">
            <v>Linux</v>
          </cell>
          <cell r="L44"/>
        </row>
        <row r="45">
          <cell r="A45" t="str">
            <v>Lin ECV</v>
          </cell>
          <cell r="B45" t="str">
            <v>Service Request</v>
          </cell>
          <cell r="C45"/>
          <cell r="D45" t="str">
            <v/>
          </cell>
          <cell r="E45"/>
          <cell r="F45"/>
          <cell r="G45" t="str">
            <v>Manual by HD2-UNIX</v>
          </cell>
          <cell r="H45"/>
          <cell r="I45"/>
          <cell r="J45"/>
          <cell r="K45" t="str">
            <v>Linux</v>
          </cell>
          <cell r="L45"/>
        </row>
        <row r="46">
          <cell r="A46" t="str">
            <v>Lin FLXCO</v>
          </cell>
          <cell r="B46" t="str">
            <v>Service Request</v>
          </cell>
          <cell r="C46"/>
          <cell r="D46" t="str">
            <v/>
          </cell>
          <cell r="E46"/>
          <cell r="F46"/>
          <cell r="G46" t="str">
            <v>Manual by HD2-UNIX</v>
          </cell>
          <cell r="H46"/>
          <cell r="I46"/>
          <cell r="J46"/>
          <cell r="K46" t="str">
            <v>Linux</v>
          </cell>
          <cell r="L46"/>
        </row>
        <row r="47">
          <cell r="A47" t="str">
            <v>Lin Oreste Web</v>
          </cell>
          <cell r="B47" t="str">
            <v>Service Request</v>
          </cell>
          <cell r="C47"/>
          <cell r="D47" t="str">
            <v>Rogna</v>
          </cell>
          <cell r="E47" t="str">
            <v>Modifica Oreste Web linux</v>
          </cell>
          <cell r="F47" t="str">
            <v>Oreste Web</v>
          </cell>
          <cell r="G47" t="str">
            <v>Manual by HD2-UNIX</v>
          </cell>
          <cell r="H47"/>
          <cell r="I47"/>
          <cell r="J47"/>
          <cell r="K47" t="str">
            <v>Linux</v>
          </cell>
          <cell r="L47"/>
        </row>
        <row r="48">
          <cell r="A48" t="str">
            <v>Lin Riassi</v>
          </cell>
          <cell r="B48" t="str">
            <v>Service Request</v>
          </cell>
          <cell r="C48" t="str">
            <v>SICS</v>
          </cell>
          <cell r="D48" t="str">
            <v>Pavia</v>
          </cell>
          <cell r="E48" t="str">
            <v>Rilascio componente di integrazione SicsEIBatch- SicsEIWebConsole</v>
          </cell>
          <cell r="F48" t="str">
            <v>SICS</v>
          </cell>
          <cell r="G48" t="str">
            <v>Manual by HD2-UNIX</v>
          </cell>
          <cell r="H48"/>
          <cell r="I48"/>
          <cell r="J48"/>
          <cell r="K48" t="str">
            <v>Linux</v>
          </cell>
          <cell r="L48"/>
        </row>
        <row r="49">
          <cell r="A49" t="str">
            <v>Lin SSO</v>
          </cell>
          <cell r="B49" t="str">
            <v>Service Request</v>
          </cell>
          <cell r="C49"/>
          <cell r="D49" t="str">
            <v>Treno Sinistri</v>
          </cell>
          <cell r="E49" t="str">
            <v>Attività linuxSSOSIN</v>
          </cell>
          <cell r="F49" t="str">
            <v>SSO</v>
          </cell>
          <cell r="G49" t="str">
            <v>Manual by HD2-UNIX</v>
          </cell>
          <cell r="H49"/>
          <cell r="I49"/>
          <cell r="J49"/>
          <cell r="K49" t="str">
            <v>Linux</v>
          </cell>
          <cell r="L49"/>
        </row>
        <row r="50">
          <cell r="A50" t="str">
            <v>Lin VIS</v>
          </cell>
          <cell r="B50" t="str">
            <v>Service Request</v>
          </cell>
          <cell r="C50"/>
          <cell r="D50" t="str">
            <v>Colombo</v>
          </cell>
          <cell r="E50" t="str">
            <v>AttivitàSu linux VIS</v>
          </cell>
          <cell r="F50" t="str">
            <v>VIS</v>
          </cell>
          <cell r="G50" t="str">
            <v>Manual by HD2-UNIX</v>
          </cell>
          <cell r="H50"/>
          <cell r="I50"/>
          <cell r="J50"/>
          <cell r="K50" t="str">
            <v>Linux</v>
          </cell>
          <cell r="L50"/>
        </row>
        <row r="51">
          <cell r="A51" t="str">
            <v>Lin VITES</v>
          </cell>
          <cell r="B51" t="str">
            <v>Service Request</v>
          </cell>
          <cell r="C51"/>
          <cell r="D51" t="str">
            <v>Colombo</v>
          </cell>
          <cell r="E51" t="str">
            <v>AttivitàSu linux VITES</v>
          </cell>
          <cell r="F51" t="str">
            <v>VITES</v>
          </cell>
          <cell r="G51" t="str">
            <v>Manual</v>
          </cell>
          <cell r="H51"/>
          <cell r="I51"/>
          <cell r="J51"/>
          <cell r="K51" t="str">
            <v>Linux</v>
          </cell>
          <cell r="L51"/>
        </row>
        <row r="52">
          <cell r="A52" t="str">
            <v>Pega ISAAC</v>
          </cell>
          <cell r="B52" t="str">
            <v>Rilascio eseguito da Marco Germano</v>
          </cell>
          <cell r="C52" t="str">
            <v>ISAAC</v>
          </cell>
          <cell r="D52" t="str">
            <v>Team ISAAC Jacobs - Catarinella</v>
          </cell>
          <cell r="E52" t="str">
            <v xml:space="preserve">Rilascio ISAAC </v>
          </cell>
          <cell r="F52" t="str">
            <v>Pega ISAAC</v>
          </cell>
          <cell r="G52" t="str">
            <v>Manual</v>
          </cell>
          <cell r="H52"/>
          <cell r="I52"/>
          <cell r="J52"/>
          <cell r="K52" t="str">
            <v>Pipeline PEGA</v>
          </cell>
          <cell r="L52"/>
        </row>
        <row r="53">
          <cell r="A53" t="str">
            <v>Solution CRM</v>
          </cell>
          <cell r="B53" t="str">
            <v xml:space="preserve">Rilascio </v>
          </cell>
          <cell r="C53"/>
          <cell r="D53" t="str">
            <v>Bugni Batte</v>
          </cell>
          <cell r="E53" t="str">
            <v>RilascioSolution CRM</v>
          </cell>
          <cell r="F53" t="str">
            <v>CRM - Solutions</v>
          </cell>
          <cell r="G53" t="str">
            <v xml:space="preserve">Manual </v>
          </cell>
          <cell r="H53"/>
          <cell r="I53"/>
          <cell r="J53"/>
          <cell r="K53" t="str">
            <v>Windows</v>
          </cell>
          <cell r="L53"/>
        </row>
        <row r="54">
          <cell r="A54" t="str">
            <v>Win AIA</v>
          </cell>
          <cell r="B54" t="str">
            <v>Service Request</v>
          </cell>
          <cell r="C54" t="str">
            <v>AIA</v>
          </cell>
          <cell r="D54" t="str">
            <v>Colombo</v>
          </cell>
          <cell r="E54" t="str">
            <v>Rilascio SW AIA</v>
          </cell>
          <cell r="F54" t="str">
            <v>AIA</v>
          </cell>
          <cell r="G54" t="str">
            <v>Manual by HD2-SYSTEM</v>
          </cell>
          <cell r="H54"/>
          <cell r="I54"/>
          <cell r="J54" t="str">
            <v>18.30</v>
          </cell>
          <cell r="K54" t="str">
            <v>Windows</v>
          </cell>
          <cell r="L54"/>
        </row>
        <row r="55">
          <cell r="A55" t="str">
            <v>Win BOA</v>
          </cell>
          <cell r="B55" t="str">
            <v>Service Request</v>
          </cell>
          <cell r="C55"/>
          <cell r="D55" t="str">
            <v>Team BOA-F10</v>
          </cell>
          <cell r="E55" t="str">
            <v>AttivitàSuiServizi di Connect@</v>
          </cell>
          <cell r="F55" t="str">
            <v xml:space="preserve">Connect@ </v>
          </cell>
          <cell r="G55" t="str">
            <v>Manual by HD2-SYSTEM</v>
          </cell>
          <cell r="H55"/>
          <cell r="I55"/>
          <cell r="J55"/>
          <cell r="K55" t="str">
            <v>Windows</v>
          </cell>
          <cell r="L55"/>
        </row>
        <row r="56">
          <cell r="A56" t="str">
            <v>Win CRM</v>
          </cell>
          <cell r="B56" t="str">
            <v>Service Request</v>
          </cell>
          <cell r="C56"/>
          <cell r="D56" t="str">
            <v>Bugni Batte</v>
          </cell>
          <cell r="E56" t="str">
            <v>Attività windowsSu CRM</v>
          </cell>
          <cell r="F56" t="str">
            <v>CRM</v>
          </cell>
          <cell r="G56" t="str">
            <v>Manual by HD2-SYSTEM</v>
          </cell>
          <cell r="H56"/>
          <cell r="I56"/>
          <cell r="J56"/>
          <cell r="K56" t="str">
            <v>Windows</v>
          </cell>
          <cell r="L56"/>
        </row>
        <row r="57">
          <cell r="A57" t="str">
            <v>Win Documentale Portafoglio</v>
          </cell>
          <cell r="B57" t="str">
            <v>Service Request</v>
          </cell>
          <cell r="C57" t="str">
            <v>Documentale Portafoglio</v>
          </cell>
          <cell r="D57" t="str">
            <v>Rocca</v>
          </cell>
          <cell r="E57" t="str">
            <v xml:space="preserve">AttivitàSu Documentale windows in Produzione </v>
          </cell>
          <cell r="F57" t="str">
            <v>Portale Documentale Portafoglio</v>
          </cell>
          <cell r="G57" t="str">
            <v>Manual by HD2-SYSTEM</v>
          </cell>
          <cell r="H57"/>
          <cell r="I57"/>
          <cell r="J57"/>
          <cell r="K57" t="str">
            <v>Windows</v>
          </cell>
          <cell r="L57"/>
        </row>
        <row r="58">
          <cell r="A58" t="str">
            <v>Win Documentale Sinistri</v>
          </cell>
          <cell r="B58" t="str">
            <v>Service Request</v>
          </cell>
          <cell r="C58" t="str">
            <v>Documentale Sinistri</v>
          </cell>
          <cell r="D58" t="str">
            <v>Rocca</v>
          </cell>
          <cell r="E58" t="str">
            <v xml:space="preserve">AttivitàSu Documentale windows in Produzione </v>
          </cell>
          <cell r="F58" t="str">
            <v>Portale Documentale Sinistri</v>
          </cell>
          <cell r="G58" t="str">
            <v>Manual by HD2-SYSTEM</v>
          </cell>
          <cell r="H58"/>
          <cell r="I58"/>
          <cell r="J58"/>
          <cell r="K58" t="str">
            <v>Windows</v>
          </cell>
          <cell r="L58"/>
        </row>
        <row r="59">
          <cell r="A59" t="str">
            <v>Win Edi</v>
          </cell>
          <cell r="B59" t="str">
            <v>Service Request</v>
          </cell>
          <cell r="C59"/>
          <cell r="D59" t="str">
            <v/>
          </cell>
          <cell r="E59"/>
          <cell r="F59"/>
          <cell r="G59"/>
          <cell r="H59"/>
          <cell r="I59"/>
          <cell r="J59"/>
          <cell r="K59" t="str">
            <v>Windows</v>
          </cell>
          <cell r="L59"/>
        </row>
        <row r="60">
          <cell r="A60" t="str">
            <v>Win Firma Web Services</v>
          </cell>
          <cell r="B60" t="str">
            <v>Service Request</v>
          </cell>
          <cell r="C60"/>
          <cell r="D60" t="str">
            <v>Rocca</v>
          </cell>
          <cell r="E60" t="str">
            <v>Attività windowsSu Firma Digitale</v>
          </cell>
          <cell r="F60" t="str">
            <v>Firma Digitale</v>
          </cell>
          <cell r="G60" t="str">
            <v>Manual by HD2-SYSTEM</v>
          </cell>
          <cell r="H60"/>
          <cell r="I60"/>
          <cell r="J60"/>
          <cell r="K60" t="str">
            <v>Windows</v>
          </cell>
          <cell r="L60"/>
        </row>
        <row r="61">
          <cell r="A61" t="str">
            <v>Win GNRO1A</v>
          </cell>
          <cell r="B61" t="str">
            <v>Service Request</v>
          </cell>
          <cell r="C61" t="str">
            <v>OMNIAINSURANCE</v>
          </cell>
          <cell r="D61" t="str">
            <v>Treno Danni</v>
          </cell>
          <cell r="E61" t="str">
            <v>Attività Grandine windows</v>
          </cell>
          <cell r="F61" t="str">
            <v>OmniaInsurance</v>
          </cell>
          <cell r="G61" t="str">
            <v>Manual by HD2-SYSTEM</v>
          </cell>
          <cell r="H61"/>
          <cell r="I61"/>
          <cell r="J61"/>
          <cell r="K61" t="str">
            <v>Windows</v>
          </cell>
          <cell r="L61"/>
        </row>
        <row r="62">
          <cell r="A62" t="str">
            <v>Win VIS</v>
          </cell>
          <cell r="B62" t="str">
            <v>Service Request</v>
          </cell>
          <cell r="C62"/>
          <cell r="D62" t="str">
            <v>Colombo</v>
          </cell>
          <cell r="E62" t="str">
            <v>Attività Windows VIS</v>
          </cell>
          <cell r="F62" t="str">
            <v>VIS</v>
          </cell>
          <cell r="G62" t="str">
            <v>Manual by HD2-SYSTEM</v>
          </cell>
          <cell r="H62"/>
          <cell r="I62"/>
          <cell r="J62"/>
          <cell r="K62" t="str">
            <v>Windows</v>
          </cell>
          <cell r="L62"/>
        </row>
        <row r="63">
          <cell r="A63"/>
          <cell r="B63"/>
          <cell r="C63"/>
          <cell r="D63"/>
          <cell r="E63"/>
          <cell r="F63"/>
          <cell r="G63"/>
          <cell r="H63"/>
          <cell r="I63"/>
          <cell r="J63"/>
          <cell r="K63"/>
          <cell r="L63"/>
        </row>
        <row r="64">
          <cell r="A64"/>
          <cell r="B64"/>
          <cell r="C64"/>
          <cell r="D64"/>
          <cell r="E64"/>
          <cell r="F64"/>
          <cell r="G64"/>
          <cell r="H64"/>
          <cell r="I64"/>
          <cell r="J64"/>
          <cell r="K64"/>
          <cell r="L64"/>
        </row>
        <row r="65">
          <cell r="A65"/>
          <cell r="B65"/>
          <cell r="C65"/>
          <cell r="D65"/>
          <cell r="E65"/>
          <cell r="F65"/>
          <cell r="G65"/>
          <cell r="H65"/>
          <cell r="I65"/>
          <cell r="J65"/>
          <cell r="K65"/>
          <cell r="L65"/>
        </row>
        <row r="66">
          <cell r="A66"/>
          <cell r="B66"/>
          <cell r="C66"/>
          <cell r="D66"/>
          <cell r="E66"/>
          <cell r="F66" t="str">
            <v>Adobe Stampe Diretta</v>
          </cell>
          <cell r="G66"/>
          <cell r="H66"/>
          <cell r="I66"/>
          <cell r="J66"/>
          <cell r="K66"/>
          <cell r="L66"/>
        </row>
        <row r="67">
          <cell r="A67"/>
          <cell r="B67"/>
          <cell r="C67"/>
          <cell r="D67"/>
          <cell r="E67"/>
          <cell r="F67" t="str">
            <v>Adobe Stampe Massive</v>
          </cell>
          <cell r="G67"/>
          <cell r="H67"/>
          <cell r="I67"/>
          <cell r="J67"/>
          <cell r="K67"/>
          <cell r="L67"/>
        </row>
        <row r="68">
          <cell r="A68"/>
          <cell r="B68"/>
          <cell r="C68"/>
          <cell r="D68"/>
          <cell r="E68"/>
          <cell r="F68" t="str">
            <v>Adobe Stampe Singole</v>
          </cell>
          <cell r="G68"/>
          <cell r="H68"/>
          <cell r="I68"/>
          <cell r="J68"/>
          <cell r="K68"/>
          <cell r="L68"/>
        </row>
        <row r="69">
          <cell r="A69"/>
          <cell r="B69"/>
          <cell r="C69"/>
          <cell r="D69"/>
          <cell r="E69"/>
          <cell r="F69" t="str">
            <v>Affinity Batch Monitor</v>
          </cell>
          <cell r="G69"/>
          <cell r="H69"/>
          <cell r="I69"/>
          <cell r="J69"/>
          <cell r="K69"/>
          <cell r="L69"/>
        </row>
        <row r="70">
          <cell r="A70"/>
          <cell r="B70"/>
          <cell r="C70"/>
          <cell r="D70"/>
          <cell r="E70"/>
          <cell r="F70" t="str">
            <v>AIA</v>
          </cell>
          <cell r="G70"/>
          <cell r="H70"/>
          <cell r="I70"/>
          <cell r="J70"/>
          <cell r="K70"/>
          <cell r="L70"/>
        </row>
        <row r="71">
          <cell r="A71"/>
          <cell r="B71"/>
          <cell r="C71"/>
          <cell r="D71"/>
          <cell r="E71"/>
          <cell r="F71" t="str">
            <v>AnagrafeWeb</v>
          </cell>
          <cell r="G71"/>
          <cell r="H71"/>
          <cell r="I71"/>
          <cell r="J71"/>
          <cell r="K71"/>
          <cell r="L71"/>
        </row>
        <row r="72">
          <cell r="A72"/>
          <cell r="B72"/>
          <cell r="C72"/>
          <cell r="D72"/>
          <cell r="E72"/>
          <cell r="F72" t="str">
            <v>AnagrafeWeb - WS</v>
          </cell>
          <cell r="G72"/>
          <cell r="H72"/>
          <cell r="I72"/>
          <cell r="J72"/>
          <cell r="K72"/>
          <cell r="L72"/>
        </row>
        <row r="73">
          <cell r="A73"/>
          <cell r="B73"/>
          <cell r="C73"/>
          <cell r="D73"/>
          <cell r="E73"/>
          <cell r="F73" t="str">
            <v>AutoEmergenza</v>
          </cell>
          <cell r="G73"/>
          <cell r="H73"/>
          <cell r="I73"/>
          <cell r="J73"/>
          <cell r="K73"/>
          <cell r="L73"/>
        </row>
        <row r="74">
          <cell r="A74"/>
          <cell r="B74"/>
          <cell r="C74"/>
          <cell r="D74"/>
          <cell r="E74"/>
          <cell r="F74" t="str">
            <v>AutoWeb</v>
          </cell>
          <cell r="G74"/>
          <cell r="H74"/>
          <cell r="I74"/>
          <cell r="J74"/>
          <cell r="K74"/>
          <cell r="L74"/>
        </row>
        <row r="75">
          <cell r="A75"/>
          <cell r="B75"/>
          <cell r="C75"/>
          <cell r="D75"/>
          <cell r="E75"/>
          <cell r="F75" t="str">
            <v>AutoWeb - WS</v>
          </cell>
          <cell r="G75"/>
          <cell r="H75"/>
          <cell r="I75"/>
          <cell r="J75"/>
          <cell r="K75"/>
          <cell r="L75"/>
        </row>
        <row r="76">
          <cell r="A76"/>
          <cell r="B76"/>
          <cell r="C76"/>
          <cell r="D76"/>
          <cell r="E76"/>
          <cell r="F76" t="str">
            <v>Banca Reale - WS</v>
          </cell>
          <cell r="G76"/>
          <cell r="H76"/>
          <cell r="I76"/>
          <cell r="J76"/>
          <cell r="K76"/>
          <cell r="L76"/>
        </row>
        <row r="77">
          <cell r="A77"/>
          <cell r="B77"/>
          <cell r="C77"/>
          <cell r="D77"/>
          <cell r="E77"/>
          <cell r="F77" t="str">
            <v>BSA/BFF vari</v>
          </cell>
          <cell r="G77"/>
          <cell r="H77"/>
          <cell r="I77"/>
          <cell r="J77"/>
          <cell r="K77"/>
          <cell r="L77"/>
        </row>
        <row r="78">
          <cell r="A78"/>
          <cell r="B78"/>
          <cell r="C78"/>
          <cell r="D78"/>
          <cell r="E78"/>
          <cell r="F78" t="str">
            <v>Carrozzerie</v>
          </cell>
          <cell r="G78"/>
          <cell r="H78"/>
          <cell r="I78"/>
          <cell r="J78"/>
          <cell r="K78"/>
          <cell r="L78"/>
        </row>
        <row r="79">
          <cell r="A79"/>
          <cell r="B79"/>
          <cell r="C79"/>
          <cell r="D79"/>
          <cell r="E79"/>
          <cell r="F79" t="str">
            <v>Cash Offer</v>
          </cell>
          <cell r="G79"/>
          <cell r="H79"/>
          <cell r="I79"/>
          <cell r="J79"/>
          <cell r="K79"/>
          <cell r="L79"/>
        </row>
        <row r="80">
          <cell r="A80"/>
          <cell r="B80"/>
          <cell r="C80"/>
          <cell r="D80"/>
          <cell r="E80"/>
          <cell r="F80" t="str">
            <v>Cat</v>
          </cell>
          <cell r="G80"/>
          <cell r="H80"/>
          <cell r="I80"/>
          <cell r="J80"/>
          <cell r="K80"/>
          <cell r="L80"/>
        </row>
        <row r="81">
          <cell r="A81"/>
          <cell r="B81"/>
          <cell r="C81"/>
          <cell r="D81"/>
          <cell r="E81"/>
          <cell r="F81" t="str">
            <v>Cisc</v>
          </cell>
          <cell r="G81"/>
          <cell r="H81"/>
          <cell r="I81"/>
          <cell r="J81"/>
          <cell r="K81"/>
          <cell r="L81"/>
        </row>
        <row r="82">
          <cell r="A82"/>
          <cell r="B82"/>
          <cell r="C82"/>
          <cell r="D82"/>
          <cell r="E82"/>
          <cell r="F82" t="str">
            <v>Cisc_Blue</v>
          </cell>
          <cell r="G82"/>
          <cell r="H82"/>
          <cell r="I82"/>
          <cell r="J82"/>
          <cell r="K82"/>
          <cell r="L82"/>
        </row>
        <row r="83">
          <cell r="A83"/>
          <cell r="B83"/>
          <cell r="C83"/>
          <cell r="D83"/>
          <cell r="E83"/>
          <cell r="F83" t="str">
            <v xml:space="preserve">Connect@ </v>
          </cell>
          <cell r="G83"/>
          <cell r="H83"/>
          <cell r="I83"/>
          <cell r="J83"/>
          <cell r="K83"/>
          <cell r="L83"/>
        </row>
        <row r="84">
          <cell r="A84"/>
          <cell r="B84"/>
          <cell r="C84"/>
          <cell r="D84"/>
          <cell r="E84"/>
          <cell r="F84" t="str">
            <v>Connect@ Direzione</v>
          </cell>
          <cell r="G84"/>
          <cell r="H84"/>
          <cell r="I84"/>
          <cell r="J84"/>
          <cell r="K84"/>
          <cell r="L84"/>
        </row>
        <row r="85">
          <cell r="F85" t="str">
            <v>Console E2E</v>
          </cell>
        </row>
        <row r="86">
          <cell r="F86" t="str">
            <v>Consultazione Documentale</v>
          </cell>
        </row>
        <row r="87">
          <cell r="F87" t="str">
            <v>Consuntivazione</v>
          </cell>
        </row>
        <row r="88">
          <cell r="F88" t="str">
            <v>Controllo Quietanzamento Auto</v>
          </cell>
        </row>
        <row r="89">
          <cell r="F89" t="str">
            <v>CRM</v>
          </cell>
        </row>
        <row r="90">
          <cell r="F90" t="str">
            <v>CRM - Solutions</v>
          </cell>
        </row>
        <row r="91">
          <cell r="F91" t="str">
            <v>CRM - WS</v>
          </cell>
        </row>
        <row r="92">
          <cell r="F92" t="str">
            <v>Cruscotto Disallineamenti Connect@</v>
          </cell>
        </row>
        <row r="93">
          <cell r="F93" t="str">
            <v>Desk Ispettori</v>
          </cell>
        </row>
        <row r="94">
          <cell r="F94" t="str">
            <v>Desk Booking</v>
          </cell>
        </row>
        <row r="95">
          <cell r="F95" t="str">
            <v>ECV</v>
          </cell>
        </row>
        <row r="96">
          <cell r="F96" t="str">
            <v>EdiWeb</v>
          </cell>
        </row>
        <row r="97">
          <cell r="F97" t="str">
            <v>EdiWeb - Formule</v>
          </cell>
        </row>
        <row r="98">
          <cell r="F98" t="str">
            <v>EDW - Estrattori</v>
          </cell>
        </row>
        <row r="99">
          <cell r="F99" t="str">
            <v>ER5DAYS</v>
          </cell>
        </row>
        <row r="100">
          <cell r="F100" t="str">
            <v>ETL - Anagrafe Tributaria</v>
          </cell>
        </row>
        <row r="101">
          <cell r="F101" t="str">
            <v>ETL - Antiterrorismo</v>
          </cell>
        </row>
        <row r="102">
          <cell r="F102" t="str">
            <v>ETL - Contabilità</v>
          </cell>
        </row>
        <row r="103">
          <cell r="F103" t="str">
            <v>ETL - Contabilità Tecnica</v>
          </cell>
        </row>
        <row r="104">
          <cell r="F104" t="str">
            <v>ETL - DW SAP</v>
          </cell>
        </row>
        <row r="105">
          <cell r="F105" t="str">
            <v>ETL - DWUtenze</v>
          </cell>
        </row>
        <row r="106">
          <cell r="F106" t="str">
            <v>ETL - DataQuality Solvency</v>
          </cell>
        </row>
        <row r="107">
          <cell r="F107" t="str">
            <v>ETL - EDW</v>
          </cell>
        </row>
        <row r="108">
          <cell r="F108" t="str">
            <v>ETL - ICM Rivalse</v>
          </cell>
        </row>
        <row r="109">
          <cell r="F109" t="str">
            <v>ETL - Miscellanea</v>
          </cell>
        </row>
        <row r="110">
          <cell r="F110" t="str">
            <v>ETL - Pass Generico</v>
          </cell>
        </row>
        <row r="111">
          <cell r="F111" t="str">
            <v>ETL - POQ</v>
          </cell>
        </row>
        <row r="112">
          <cell r="F112" t="str">
            <v>ETL - Portale Collaboratori</v>
          </cell>
        </row>
        <row r="113">
          <cell r="F113" t="str">
            <v>ETL - Quality</v>
          </cell>
        </row>
        <row r="114">
          <cell r="F114" t="str">
            <v>ETL - Riassi</v>
          </cell>
        </row>
        <row r="115">
          <cell r="F115" t="str">
            <v>ETL - SICS</v>
          </cell>
        </row>
        <row r="116">
          <cell r="F116" t="str">
            <v>ETL - SIGEA Anagrafe</v>
          </cell>
        </row>
        <row r="117">
          <cell r="F117" t="str">
            <v>ETL - SIGEA Auto</v>
          </cell>
        </row>
        <row r="118">
          <cell r="F118" t="str">
            <v>ETL - SIGEA Sinistri</v>
          </cell>
        </row>
        <row r="119">
          <cell r="F119" t="str">
            <v>ETL - Solvency</v>
          </cell>
        </row>
        <row r="120">
          <cell r="F120" t="str">
            <v>Fabrick</v>
          </cell>
        </row>
        <row r="121">
          <cell r="F121" t="str">
            <v>Fatturazione Elettronica PA</v>
          </cell>
        </row>
        <row r="122">
          <cell r="F122" t="str">
            <v>Firma Api</v>
          </cell>
        </row>
        <row r="123">
          <cell r="F123" t="str">
            <v>Firma Digitale</v>
          </cell>
        </row>
        <row r="124">
          <cell r="F124" t="str">
            <v>Firma Digitale - App</v>
          </cell>
        </row>
        <row r="125">
          <cell r="F125" t="str">
            <v>FirmaWeb</v>
          </cell>
        </row>
        <row r="126">
          <cell r="F126" t="str">
            <v>Flessibilità Commerciale</v>
          </cell>
        </row>
        <row r="127">
          <cell r="F127" t="str">
            <v>Flessibilità Commerciale - Batch</v>
          </cell>
        </row>
        <row r="128">
          <cell r="F128" t="str">
            <v>Fondo Pensione</v>
          </cell>
        </row>
        <row r="129">
          <cell r="F129" t="str">
            <v>Form Balancer</v>
          </cell>
        </row>
        <row r="130">
          <cell r="F130" t="str">
            <v>Funzione Aziendale</v>
          </cell>
        </row>
        <row r="131">
          <cell r="F131" t="str">
            <v>Gestione Collaboratori</v>
          </cell>
        </row>
        <row r="132">
          <cell r="F132" t="str">
            <v>Gestione Impegni Ispettori</v>
          </cell>
        </row>
        <row r="133">
          <cell r="F133" t="str">
            <v>Gestione Richieste Assuntive</v>
          </cell>
        </row>
        <row r="134">
          <cell r="F134" t="str">
            <v>Gestione UOA</v>
          </cell>
        </row>
        <row r="135">
          <cell r="F135" t="str">
            <v>Gianos</v>
          </cell>
        </row>
        <row r="136">
          <cell r="F136" t="str">
            <v>GRMA Scan</v>
          </cell>
        </row>
        <row r="137">
          <cell r="F137" t="str">
            <v>HR Access</v>
          </cell>
        </row>
        <row r="138">
          <cell r="F138" t="str">
            <v>ICM Rivalse</v>
          </cell>
        </row>
        <row r="139">
          <cell r="F139" t="str">
            <v>ICM Rivalse - Batch</v>
          </cell>
        </row>
        <row r="140">
          <cell r="F140" t="str">
            <v>Integrazione</v>
          </cell>
        </row>
        <row r="141">
          <cell r="F141" t="str">
            <v>Integrazione - Batch</v>
          </cell>
        </row>
        <row r="142">
          <cell r="F142" t="str">
            <v>Integrazione - WS</v>
          </cell>
        </row>
        <row r="143">
          <cell r="F143" t="str">
            <v>ISAAC</v>
          </cell>
        </row>
        <row r="144">
          <cell r="F144" t="str">
            <v>ISAAC - Reportistica</v>
          </cell>
        </row>
        <row r="145">
          <cell r="F145" t="str">
            <v>ISAAC - Wrapper</v>
          </cell>
        </row>
        <row r="146">
          <cell r="F146" t="str">
            <v>lettereNomina</v>
          </cell>
        </row>
        <row r="147">
          <cell r="F147" t="str">
            <v>LMUP</v>
          </cell>
        </row>
        <row r="148">
          <cell r="F148" t="str">
            <v>Miscellanous - TargetMarket</v>
          </cell>
        </row>
        <row r="149">
          <cell r="F149" t="str">
            <v>Modelli Fiscali</v>
          </cell>
        </row>
        <row r="150">
          <cell r="F150" t="str">
            <v>Multicanalità - App Agenti</v>
          </cell>
        </row>
        <row r="151">
          <cell r="F151" t="str">
            <v>Multicanalità - Business Layer</v>
          </cell>
        </row>
        <row r="152">
          <cell r="F152" t="str">
            <v>Multicanalità - Mobile</v>
          </cell>
        </row>
        <row r="153">
          <cell r="F153" t="str">
            <v>Multicanalità - Pass Portal</v>
          </cell>
        </row>
        <row r="154">
          <cell r="F154" t="str">
            <v>Multicanalità - Uber-Jar</v>
          </cell>
        </row>
        <row r="155">
          <cell r="F155" t="str">
            <v>Multicanalità - Vendita Web</v>
          </cell>
        </row>
        <row r="156">
          <cell r="F156" t="str">
            <v>Multicanalità - WS Vita</v>
          </cell>
        </row>
        <row r="157">
          <cell r="F157" t="str">
            <v>OMA</v>
          </cell>
        </row>
        <row r="158">
          <cell r="F158" t="str">
            <v>OmniaInsurance</v>
          </cell>
        </row>
        <row r="159">
          <cell r="F159" t="str">
            <v>Oreste</v>
          </cell>
        </row>
        <row r="160">
          <cell r="F160" t="str">
            <v>Oreste Web</v>
          </cell>
        </row>
        <row r="161">
          <cell r="F161" t="str">
            <v>Oreste - WS</v>
          </cell>
        </row>
        <row r="162">
          <cell r="F162" t="str">
            <v>Pass Auto</v>
          </cell>
        </row>
        <row r="163">
          <cell r="F163" t="str">
            <v>Pass Auto - Batch</v>
          </cell>
        </row>
        <row r="164">
          <cell r="F164" t="str">
            <v>Pass Contabilità</v>
          </cell>
        </row>
        <row r="165">
          <cell r="F165" t="str">
            <v>Pass Contabilità - Batch</v>
          </cell>
        </row>
        <row r="166">
          <cell r="F166" t="str">
            <v>Pass RE</v>
          </cell>
        </row>
        <row r="167">
          <cell r="F167" t="str">
            <v>Pass RE - Batch</v>
          </cell>
        </row>
        <row r="168">
          <cell r="F168" t="str">
            <v>Pega ISAAC</v>
          </cell>
        </row>
        <row r="169">
          <cell r="F169" t="str">
            <v>Pega Sintesi</v>
          </cell>
        </row>
        <row r="170">
          <cell r="F170" t="str">
            <v>Piteco</v>
          </cell>
        </row>
        <row r="171">
          <cell r="F171" t="str">
            <v>PNI Spagna</v>
          </cell>
        </row>
        <row r="172">
          <cell r="F172" t="str">
            <v>POQ</v>
          </cell>
        </row>
        <row r="173">
          <cell r="F173" t="str">
            <v>POQ - WS</v>
          </cell>
        </row>
        <row r="174">
          <cell r="F174" t="str">
            <v>Portale Collaboratori</v>
          </cell>
        </row>
        <row r="175">
          <cell r="F175" t="str">
            <v>Portale Collaboratori - Batch</v>
          </cell>
        </row>
        <row r="176">
          <cell r="F176" t="str">
            <v>Portale Collaboratori - FE</v>
          </cell>
        </row>
        <row r="177">
          <cell r="F177" t="str">
            <v>Portale Collaboratori - Mid</v>
          </cell>
        </row>
        <row r="178">
          <cell r="F178" t="str">
            <v>Portale Collaboratori - FE/Mid</v>
          </cell>
        </row>
        <row r="179">
          <cell r="F179" t="str">
            <v>Portale Documentale Dipendenti</v>
          </cell>
        </row>
        <row r="180">
          <cell r="F180" t="str">
            <v>Portale Documentale Fatture</v>
          </cell>
        </row>
        <row r="181">
          <cell r="F181" t="str">
            <v>Portale Documentale Fatture - WS</v>
          </cell>
        </row>
        <row r="182">
          <cell r="F182" t="str">
            <v>Portale Documentale Mandati</v>
          </cell>
        </row>
        <row r="183">
          <cell r="F183" t="str">
            <v>Portale Documentale Mandati - WS</v>
          </cell>
        </row>
        <row r="184">
          <cell r="F184" t="str">
            <v>Portale Documentale Portafoglio</v>
          </cell>
        </row>
        <row r="185">
          <cell r="F185" t="str">
            <v>Portale Documentale Portafoglio - Batch</v>
          </cell>
        </row>
        <row r="186">
          <cell r="F186" t="str">
            <v>Portale Documentale Portafoglio - WS</v>
          </cell>
        </row>
        <row r="187">
          <cell r="F187" t="str">
            <v>Portale Documentale Sinistri</v>
          </cell>
        </row>
        <row r="188">
          <cell r="F188" t="str">
            <v>Portale Documentale Sinistri - Batch</v>
          </cell>
        </row>
        <row r="189">
          <cell r="F189" t="str">
            <v>Portale Documentale Sinistri - WS</v>
          </cell>
        </row>
        <row r="190">
          <cell r="F190" t="str">
            <v>Positiv</v>
          </cell>
        </row>
        <row r="191">
          <cell r="F191" t="str">
            <v>PPEVO</v>
          </cell>
        </row>
        <row r="192">
          <cell r="F192" t="str">
            <v>Prestiti Dipendenti</v>
          </cell>
        </row>
        <row r="193">
          <cell r="F193" t="str">
            <v>Preventivatore Batch</v>
          </cell>
        </row>
        <row r="194">
          <cell r="F194" t="str">
            <v>Prevenivatore Internet</v>
          </cell>
        </row>
        <row r="195">
          <cell r="F195" t="str">
            <v>Preventivatore Auto Internet</v>
          </cell>
        </row>
        <row r="196">
          <cell r="F196" t="str">
            <v>Prevenivatore Ivass</v>
          </cell>
        </row>
        <row r="197">
          <cell r="F197" t="str">
            <v>Preventivatore Auto Agenzie</v>
          </cell>
        </row>
        <row r="198">
          <cell r="F198" t="str">
            <v>Processi BPM</v>
          </cell>
        </row>
        <row r="199">
          <cell r="F199" t="str">
            <v>Punto Desk</v>
          </cell>
        </row>
        <row r="200">
          <cell r="F200" t="str">
            <v>QISS</v>
          </cell>
        </row>
        <row r="201">
          <cell r="F201" t="str">
            <v>Quadient</v>
          </cell>
        </row>
        <row r="202">
          <cell r="F202" t="str">
            <v>RealeGPT</v>
          </cell>
        </row>
        <row r="203">
          <cell r="F203" t="str">
            <v>Riassi</v>
          </cell>
        </row>
        <row r="204">
          <cell r="F204" t="str">
            <v>Ribes</v>
          </cell>
        </row>
        <row r="205">
          <cell r="F205" t="str">
            <v>Ribes - Batch</v>
          </cell>
        </row>
        <row r="206">
          <cell r="F206" t="str">
            <v>Ricerca anagrafica veloce</v>
          </cell>
        </row>
        <row r="207">
          <cell r="F207" t="str">
            <v>RMASICUREZZAWEB</v>
          </cell>
        </row>
        <row r="208">
          <cell r="F208" t="str">
            <v>RSG Extranet Web Mobile</v>
          </cell>
        </row>
        <row r="209">
          <cell r="F209" t="str">
            <v>SAP</v>
          </cell>
        </row>
        <row r="210">
          <cell r="F210" t="str">
            <v>Schedulazione</v>
          </cell>
        </row>
        <row r="211">
          <cell r="F211" t="str">
            <v>Scorer3</v>
          </cell>
        </row>
        <row r="212">
          <cell r="F212" t="str">
            <v>SICS</v>
          </cell>
        </row>
        <row r="213">
          <cell r="F213" t="str">
            <v>SicSearch</v>
          </cell>
        </row>
        <row r="214">
          <cell r="F214" t="str">
            <v>SIGEA Admin</v>
          </cell>
        </row>
        <row r="215">
          <cell r="F215" t="str">
            <v>SIGEA Anagrafe</v>
          </cell>
        </row>
        <row r="216">
          <cell r="F216" t="str">
            <v>SIGEA Auto</v>
          </cell>
        </row>
        <row r="217">
          <cell r="F217" t="str">
            <v>SIGEA Auto - Caricamento Beni</v>
          </cell>
        </row>
        <row r="218">
          <cell r="F218" t="str">
            <v>SIGEA Auto - WS</v>
          </cell>
        </row>
        <row r="219">
          <cell r="F219" t="str">
            <v>SIGEA Contabilità</v>
          </cell>
        </row>
        <row r="220">
          <cell r="F220" t="str">
            <v>SIGEA Sinistri</v>
          </cell>
        </row>
        <row r="221">
          <cell r="F221" t="str">
            <v>SIGEA UOA</v>
          </cell>
        </row>
        <row r="222">
          <cell r="F222" t="str">
            <v>SinistriWeb</v>
          </cell>
        </row>
        <row r="223">
          <cell r="F223" t="str">
            <v>SinistriWeb - Batch</v>
          </cell>
        </row>
        <row r="224">
          <cell r="F224" t="str">
            <v>SinistriWeb - WS</v>
          </cell>
        </row>
        <row r="225">
          <cell r="F225" t="str">
            <v>Siti Istituzionali</v>
          </cell>
        </row>
        <row r="226">
          <cell r="F226" t="str">
            <v>Siti Istituzionali - WS</v>
          </cell>
        </row>
        <row r="227">
          <cell r="F227" t="str">
            <v>Siti Istituzionali - Batch</v>
          </cell>
        </row>
        <row r="228">
          <cell r="F228" t="str">
            <v>Siti Istituzionali Mid</v>
          </cell>
        </row>
        <row r="229">
          <cell r="F229" t="str">
            <v>Sito Reale Immobili</v>
          </cell>
        </row>
        <row r="230">
          <cell r="F230" t="str">
            <v>Solvency</v>
          </cell>
        </row>
        <row r="231">
          <cell r="F231" t="str">
            <v>Solvency - IDS</v>
          </cell>
        </row>
        <row r="232">
          <cell r="F232" t="str">
            <v>SSO</v>
          </cell>
        </row>
        <row r="233">
          <cell r="F233" t="str">
            <v>Timesheet</v>
          </cell>
        </row>
        <row r="234">
          <cell r="F234" t="str">
            <v>Tom Extra</v>
          </cell>
        </row>
        <row r="235">
          <cell r="F235" t="str">
            <v>WILEGAMI (dismissione AUI)</v>
          </cell>
        </row>
        <row r="236">
          <cell r="F236" t="str">
            <v>VIS</v>
          </cell>
        </row>
        <row r="237">
          <cell r="F237" t="str">
            <v>VIS - Quotatore</v>
          </cell>
        </row>
        <row r="238">
          <cell r="F238" t="str">
            <v>WEB AUTOMATION</v>
          </cell>
        </row>
        <row r="239">
          <cell r="F239" t="str">
            <v>VITES</v>
          </cell>
        </row>
        <row r="240">
          <cell r="F240"/>
        </row>
        <row r="241">
          <cell r="F241"/>
        </row>
        <row r="242">
          <cell r="F242"/>
        </row>
        <row r="243">
          <cell r="F243"/>
        </row>
        <row r="244">
          <cell r="F244"/>
        </row>
        <row r="245">
          <cell r="F245"/>
        </row>
        <row r="246">
          <cell r="F246"/>
        </row>
        <row r="247">
          <cell r="F247"/>
        </row>
        <row r="248">
          <cell r="F248"/>
        </row>
        <row r="249">
          <cell r="F249"/>
        </row>
        <row r="250">
          <cell r="F250"/>
        </row>
        <row r="251">
          <cell r="F251"/>
        </row>
        <row r="252">
          <cell r="F252"/>
        </row>
        <row r="253">
          <cell r="F253"/>
        </row>
        <row r="254">
          <cell r="F254"/>
        </row>
        <row r="255">
          <cell r="F255"/>
        </row>
        <row r="256">
          <cell r="F256"/>
        </row>
        <row r="257">
          <cell r="F257"/>
        </row>
        <row r="258">
          <cell r="F258"/>
        </row>
        <row r="259">
          <cell r="F259"/>
        </row>
        <row r="260">
          <cell r="F260"/>
        </row>
        <row r="261">
          <cell r="F261"/>
        </row>
        <row r="262">
          <cell r="F262"/>
        </row>
        <row r="263">
          <cell r="F263"/>
        </row>
        <row r="264">
          <cell r="F264"/>
        </row>
        <row r="265">
          <cell r="F265"/>
        </row>
        <row r="266">
          <cell r="F266"/>
        </row>
        <row r="267">
          <cell r="F267"/>
        </row>
        <row r="268">
          <cell r="F268"/>
        </row>
        <row r="269">
          <cell r="F269"/>
        </row>
        <row r="270">
          <cell r="F270"/>
        </row>
        <row r="271">
          <cell r="F271"/>
        </row>
        <row r="272">
          <cell r="F272"/>
        </row>
        <row r="273">
          <cell r="F273"/>
        </row>
        <row r="274">
          <cell r="F274"/>
        </row>
        <row r="275">
          <cell r="F275"/>
        </row>
        <row r="276">
          <cell r="F276"/>
        </row>
        <row r="277">
          <cell r="F277"/>
        </row>
        <row r="278">
          <cell r="F278"/>
        </row>
        <row r="279">
          <cell r="F279"/>
        </row>
        <row r="280">
          <cell r="F280"/>
        </row>
        <row r="281">
          <cell r="F281"/>
        </row>
        <row r="282">
          <cell r="F282"/>
        </row>
        <row r="283">
          <cell r="F283"/>
        </row>
        <row r="284">
          <cell r="F284"/>
        </row>
        <row r="285">
          <cell r="F285"/>
        </row>
        <row r="286">
          <cell r="F286"/>
        </row>
        <row r="287">
          <cell r="F287"/>
        </row>
        <row r="288">
          <cell r="F288"/>
        </row>
        <row r="289">
          <cell r="F289"/>
        </row>
        <row r="290">
          <cell r="F290"/>
        </row>
        <row r="291">
          <cell r="F291"/>
        </row>
        <row r="292">
          <cell r="F292"/>
        </row>
        <row r="293">
          <cell r="F293"/>
        </row>
        <row r="294">
          <cell r="F294"/>
        </row>
        <row r="295">
          <cell r="F295"/>
        </row>
        <row r="296">
          <cell r="F296"/>
        </row>
        <row r="297">
          <cell r="F297"/>
        </row>
        <row r="298">
          <cell r="F298"/>
        </row>
        <row r="299">
          <cell r="F299"/>
        </row>
        <row r="300">
          <cell r="F300"/>
        </row>
        <row r="301">
          <cell r="F301"/>
        </row>
        <row r="302">
          <cell r="F302"/>
        </row>
        <row r="303">
          <cell r="F303"/>
        </row>
        <row r="304">
          <cell r="F304"/>
        </row>
        <row r="305">
          <cell r="F305"/>
        </row>
        <row r="306">
          <cell r="F306"/>
        </row>
        <row r="307">
          <cell r="F307"/>
        </row>
        <row r="308">
          <cell r="F308"/>
        </row>
        <row r="309">
          <cell r="F309"/>
        </row>
        <row r="310">
          <cell r="F310"/>
        </row>
        <row r="311">
          <cell r="F311"/>
        </row>
        <row r="312">
          <cell r="F312"/>
        </row>
        <row r="313">
          <cell r="F313"/>
        </row>
        <row r="314">
          <cell r="F314"/>
        </row>
        <row r="315">
          <cell r="F315"/>
        </row>
        <row r="316">
          <cell r="F316"/>
        </row>
        <row r="317">
          <cell r="F317"/>
        </row>
        <row r="318">
          <cell r="F318"/>
        </row>
        <row r="319">
          <cell r="F319"/>
        </row>
        <row r="320">
          <cell r="F320"/>
        </row>
        <row r="321">
          <cell r="F321"/>
        </row>
        <row r="322">
          <cell r="F322"/>
        </row>
        <row r="323">
          <cell r="F323"/>
        </row>
        <row r="324">
          <cell r="F324"/>
        </row>
        <row r="325">
          <cell r="F325"/>
        </row>
        <row r="326">
          <cell r="F326"/>
        </row>
        <row r="327">
          <cell r="F327"/>
        </row>
        <row r="328">
          <cell r="F328"/>
        </row>
        <row r="329">
          <cell r="F329"/>
        </row>
        <row r="330">
          <cell r="F330"/>
        </row>
        <row r="331">
          <cell r="F331"/>
        </row>
        <row r="332">
          <cell r="F332"/>
        </row>
        <row r="333">
          <cell r="F333"/>
        </row>
        <row r="334">
          <cell r="F334"/>
        </row>
        <row r="335">
          <cell r="F335"/>
        </row>
        <row r="336">
          <cell r="F336"/>
        </row>
        <row r="337">
          <cell r="F337"/>
        </row>
        <row r="338">
          <cell r="F338"/>
        </row>
        <row r="339">
          <cell r="F339"/>
        </row>
        <row r="340">
          <cell r="F340"/>
        </row>
        <row r="341">
          <cell r="F341"/>
        </row>
        <row r="342">
          <cell r="F342"/>
        </row>
        <row r="343">
          <cell r="F343"/>
        </row>
        <row r="344">
          <cell r="F344"/>
        </row>
        <row r="345">
          <cell r="F345"/>
        </row>
        <row r="346">
          <cell r="F346"/>
        </row>
        <row r="347">
          <cell r="F347"/>
        </row>
        <row r="348">
          <cell r="F348"/>
        </row>
        <row r="349">
          <cell r="F349"/>
        </row>
        <row r="350">
          <cell r="F350"/>
        </row>
        <row r="351">
          <cell r="F351"/>
        </row>
        <row r="352">
          <cell r="F352"/>
        </row>
        <row r="353">
          <cell r="F353"/>
        </row>
        <row r="354">
          <cell r="F354"/>
        </row>
        <row r="355">
          <cell r="F355"/>
        </row>
        <row r="356">
          <cell r="F356"/>
        </row>
        <row r="357">
          <cell r="F357"/>
        </row>
        <row r="358">
          <cell r="F358"/>
        </row>
        <row r="359">
          <cell r="F359"/>
        </row>
        <row r="360">
          <cell r="F360"/>
        </row>
        <row r="361">
          <cell r="F361"/>
        </row>
        <row r="362">
          <cell r="F362"/>
        </row>
        <row r="363">
          <cell r="F363"/>
        </row>
        <row r="364">
          <cell r="F364"/>
        </row>
        <row r="365">
          <cell r="F365"/>
        </row>
        <row r="366">
          <cell r="F366"/>
        </row>
        <row r="367">
          <cell r="F367"/>
        </row>
        <row r="368">
          <cell r="F368"/>
        </row>
        <row r="369">
          <cell r="F369"/>
        </row>
        <row r="370">
          <cell r="F370"/>
        </row>
        <row r="371">
          <cell r="F371"/>
        </row>
        <row r="372">
          <cell r="F372"/>
        </row>
        <row r="373">
          <cell r="F373"/>
        </row>
        <row r="374">
          <cell r="F374"/>
        </row>
        <row r="375">
          <cell r="F375"/>
        </row>
        <row r="376">
          <cell r="F376"/>
        </row>
        <row r="377">
          <cell r="F377"/>
        </row>
        <row r="378">
          <cell r="F378"/>
        </row>
        <row r="379">
          <cell r="F379"/>
        </row>
        <row r="380">
          <cell r="F380"/>
        </row>
        <row r="381">
          <cell r="F381"/>
        </row>
        <row r="382">
          <cell r="F382"/>
        </row>
        <row r="383">
          <cell r="F383"/>
        </row>
        <row r="384">
          <cell r="F384"/>
        </row>
        <row r="385">
          <cell r="F385"/>
        </row>
        <row r="386">
          <cell r="F386"/>
        </row>
        <row r="387">
          <cell r="F387"/>
        </row>
        <row r="388">
          <cell r="F388"/>
        </row>
        <row r="389">
          <cell r="F389"/>
        </row>
        <row r="390">
          <cell r="F390"/>
        </row>
        <row r="391">
          <cell r="F391"/>
        </row>
        <row r="392">
          <cell r="F392"/>
        </row>
        <row r="393">
          <cell r="F393"/>
        </row>
        <row r="394">
          <cell r="F394"/>
        </row>
        <row r="395">
          <cell r="F395"/>
        </row>
        <row r="396">
          <cell r="F396"/>
        </row>
        <row r="397">
          <cell r="F397"/>
        </row>
        <row r="398">
          <cell r="F398"/>
        </row>
        <row r="399">
          <cell r="F399"/>
        </row>
        <row r="400">
          <cell r="F400"/>
        </row>
        <row r="401">
          <cell r="F401"/>
        </row>
        <row r="402">
          <cell r="F402"/>
        </row>
        <row r="403">
          <cell r="F403"/>
        </row>
        <row r="404">
          <cell r="F404"/>
        </row>
        <row r="405">
          <cell r="F405"/>
        </row>
        <row r="406">
          <cell r="F406"/>
        </row>
        <row r="407">
          <cell r="F407"/>
        </row>
        <row r="408">
          <cell r="F408"/>
        </row>
        <row r="409">
          <cell r="F409"/>
        </row>
        <row r="410">
          <cell r="F410"/>
        </row>
        <row r="411">
          <cell r="F411"/>
        </row>
        <row r="412">
          <cell r="F412"/>
        </row>
        <row r="413">
          <cell r="F413"/>
        </row>
        <row r="414">
          <cell r="F414"/>
        </row>
        <row r="415">
          <cell r="F415"/>
        </row>
        <row r="416">
          <cell r="F416"/>
        </row>
        <row r="417">
          <cell r="F417"/>
        </row>
        <row r="418">
          <cell r="F418"/>
        </row>
        <row r="419">
          <cell r="F419"/>
        </row>
        <row r="420">
          <cell r="F420"/>
        </row>
        <row r="421">
          <cell r="F421"/>
        </row>
        <row r="422">
          <cell r="F422"/>
        </row>
        <row r="423">
          <cell r="F423"/>
        </row>
        <row r="424">
          <cell r="F424"/>
        </row>
        <row r="425">
          <cell r="F425"/>
        </row>
        <row r="426">
          <cell r="F426"/>
        </row>
        <row r="427">
          <cell r="F427"/>
        </row>
        <row r="428">
          <cell r="F428"/>
        </row>
        <row r="429">
          <cell r="F429"/>
        </row>
        <row r="430">
          <cell r="F430"/>
        </row>
        <row r="431">
          <cell r="F431"/>
        </row>
        <row r="432">
          <cell r="F432"/>
        </row>
        <row r="433">
          <cell r="F433"/>
        </row>
        <row r="434">
          <cell r="F434"/>
        </row>
        <row r="435">
          <cell r="F435"/>
        </row>
        <row r="436">
          <cell r="F436"/>
        </row>
        <row r="437">
          <cell r="F437"/>
        </row>
        <row r="438">
          <cell r="F438"/>
        </row>
        <row r="439">
          <cell r="F439"/>
        </row>
        <row r="440">
          <cell r="F440"/>
        </row>
        <row r="441">
          <cell r="F441"/>
        </row>
        <row r="442">
          <cell r="F442"/>
        </row>
        <row r="443">
          <cell r="F443"/>
        </row>
        <row r="444">
          <cell r="F444"/>
        </row>
        <row r="445">
          <cell r="F445"/>
        </row>
        <row r="446">
          <cell r="F446"/>
        </row>
        <row r="447">
          <cell r="F447"/>
        </row>
        <row r="448">
          <cell r="F448"/>
        </row>
        <row r="449">
          <cell r="F449"/>
        </row>
        <row r="450">
          <cell r="F450"/>
        </row>
        <row r="451">
          <cell r="F451"/>
        </row>
        <row r="452">
          <cell r="F452"/>
        </row>
        <row r="453">
          <cell r="F453"/>
        </row>
        <row r="454">
          <cell r="F454"/>
        </row>
        <row r="455">
          <cell r="F455"/>
        </row>
        <row r="456">
          <cell r="F456"/>
        </row>
        <row r="457">
          <cell r="F457"/>
        </row>
        <row r="458">
          <cell r="F458"/>
        </row>
        <row r="459">
          <cell r="F459"/>
        </row>
        <row r="460">
          <cell r="F460"/>
        </row>
        <row r="461">
          <cell r="F461"/>
        </row>
        <row r="462">
          <cell r="F462"/>
        </row>
        <row r="463">
          <cell r="F463"/>
        </row>
        <row r="464">
          <cell r="F464"/>
        </row>
        <row r="465">
          <cell r="F465"/>
        </row>
        <row r="466">
          <cell r="F466"/>
        </row>
        <row r="467">
          <cell r="F467"/>
        </row>
        <row r="468">
          <cell r="F468"/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GRAGLIA Massimo" id="{B03AF352-0FA9-430F-BA21-976CABDC3446}" userId="S::massimo.graglia@realeites.com::08a8b5a4-b686-40a2-96d1-bb12255bceb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4-05-09T13:33:08.42" personId="{B03AF352-0FA9-430F-BA21-976CABDC3446}" id="{CB1EFC2C-CFD9-496E-88CA-2D45E4A3D038}">
    <text/>
  </threadedComment>
  <threadedComment ref="B2" dT="2026-04-14T10:15:40.62" personId="{B03AF352-0FA9-430F-BA21-976CABDC3446}" id="{C55D578F-0E60-4B1E-ACAE-7B5A99514EA7}" parentId="{CB1EFC2C-CFD9-496E-88CA-2D45E4A3D038}">
    <text>Per i pacchetti jcl anagrafe inserire come code”SG-ANAGRAFE” per EDW dei pacchetti SS01 inserir code “DW01A”</text>
  </threadedComment>
  <threadedComment ref="C2" dT="2026-04-14T10:24:20.04" personId="{B03AF352-0FA9-430F-BA21-976CABDC3446}" id="{9D141DB8-B5AF-4FFF-A60A-B90CAC6C04C1}">
    <text>Per le pipeline di integrazione ci forniscono i link puntuali. Inserire in questa colonna il nome del Codice Applicazione.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2" dT="2024-05-09T13:33:08.42" personId="{B03AF352-0FA9-430F-BA21-976CABDC3446}" id="{8837B14F-8421-40D4-805E-4EE4555811BC}">
    <text>Inserire il code application per EDW - JCL - SV - SC</text>
  </threadedComment>
  <threadedComment ref="O2" dT="2024-05-09T13:33:08.42" personId="{B03AF352-0FA9-430F-BA21-976CABDC3446}" id="{7DC951DA-53C2-4874-B777-513660957D56}">
    <text>Inserire il code application per EDW - JCL - SV - SC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Connect@" TargetMode="Externa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dev.azure.com/realeitesorg/it.integration/_build/results?buildId=357226&amp;view=results" TargetMode="External"/><Relationship Id="rId18" Type="http://schemas.openxmlformats.org/officeDocument/2006/relationships/hyperlink" Target="https://dev.azure.com/realeitesorg/it.integration/_build/results?buildId=357395&amp;view=results" TargetMode="External"/><Relationship Id="rId26" Type="http://schemas.openxmlformats.org/officeDocument/2006/relationships/hyperlink" Target="https://dev.azure.com/realeitesorg/it.integration/_build/results?buildId=357602&amp;view=results" TargetMode="External"/><Relationship Id="rId39" Type="http://schemas.openxmlformats.org/officeDocument/2006/relationships/hyperlink" Target="https://dev.azure.com/realeitesorg/it.grma.rdna/_build/results?buildId=362463&amp;view=results" TargetMode="External"/><Relationship Id="rId21" Type="http://schemas.openxmlformats.org/officeDocument/2006/relationships/hyperlink" Target="https://dev.azure.com/realeitesorg/it.integration/_build/results?buildId=357551&amp;view=results" TargetMode="External"/><Relationship Id="rId34" Type="http://schemas.openxmlformats.org/officeDocument/2006/relationships/hyperlink" Target="https://dev.azure.com/realeitesorg/it.integration/_build/results?buildId=357695&amp;view=results" TargetMode="External"/><Relationship Id="rId7" Type="http://schemas.openxmlformats.org/officeDocument/2006/relationships/hyperlink" Target="https://dev.azure.com/realeitesorg/it.integration/_build/results?buildId=356955&amp;view=results" TargetMode="External"/><Relationship Id="rId12" Type="http://schemas.openxmlformats.org/officeDocument/2006/relationships/hyperlink" Target="https://dev.azure.com/realeitesorg/it.integration/_build/results?buildId=357071&amp;view=results" TargetMode="External"/><Relationship Id="rId17" Type="http://schemas.openxmlformats.org/officeDocument/2006/relationships/hyperlink" Target="https://dev.azure.com/realeitesorg/it.integration/_build/results?buildId=357369&amp;view=results" TargetMode="External"/><Relationship Id="rId25" Type="http://schemas.openxmlformats.org/officeDocument/2006/relationships/hyperlink" Target="https://dev.azure.com/realeitesorg/it.integration/_build/results?buildId=357585&amp;view=results" TargetMode="External"/><Relationship Id="rId33" Type="http://schemas.openxmlformats.org/officeDocument/2006/relationships/hyperlink" Target="https://dev.azure.com/realeitesorg/it.integration/_build/results?buildId=357678&amp;view=results" TargetMode="External"/><Relationship Id="rId38" Type="http://schemas.openxmlformats.org/officeDocument/2006/relationships/hyperlink" Target="https://dev.azure.com/realeitesorg/it.grma.rdna/_build/results?buildId=362451&amp;view=results" TargetMode="External"/><Relationship Id="rId2" Type="http://schemas.openxmlformats.org/officeDocument/2006/relationships/hyperlink" Target="https://dev.azure.com/realeitesorg/it.integration/_build/results?buildId=354617&amp;view=results" TargetMode="External"/><Relationship Id="rId16" Type="http://schemas.openxmlformats.org/officeDocument/2006/relationships/hyperlink" Target="https://dev.azure.com/realeitesorg/it.integration/_build/results?buildId=357341&amp;view=results" TargetMode="External"/><Relationship Id="rId20" Type="http://schemas.openxmlformats.org/officeDocument/2006/relationships/hyperlink" Target="https://dev.azure.com/realeitesorg/it.integration/_build/results?buildId=357447&amp;view=results" TargetMode="External"/><Relationship Id="rId29" Type="http://schemas.openxmlformats.org/officeDocument/2006/relationships/hyperlink" Target="https://dev.azure.com/realeitesorg/it.integration/_build/results?buildId=357637&amp;view=results" TargetMode="External"/><Relationship Id="rId1" Type="http://schemas.openxmlformats.org/officeDocument/2006/relationships/hyperlink" Target="https://dev.azure.com/realeitesorg/it.integration/_build/results?buildId=356946&amp;view=results" TargetMode="External"/><Relationship Id="rId6" Type="http://schemas.openxmlformats.org/officeDocument/2006/relationships/hyperlink" Target="https://dev.azure.com/realeitesorg/it.integration/_build/results?buildId=356954&amp;view=results" TargetMode="External"/><Relationship Id="rId11" Type="http://schemas.openxmlformats.org/officeDocument/2006/relationships/hyperlink" Target="https://dev.azure.com/realeitesorg/it.integration/_build/results?buildId=357066&amp;view=results" TargetMode="External"/><Relationship Id="rId24" Type="http://schemas.openxmlformats.org/officeDocument/2006/relationships/hyperlink" Target="https://dev.azure.com/realeitesorg/it.integration/_build/results?buildId=357575&amp;view=results" TargetMode="External"/><Relationship Id="rId32" Type="http://schemas.openxmlformats.org/officeDocument/2006/relationships/hyperlink" Target="https://dev.azure.com/realeitesorg/it.integration/_build/results?buildId=357669&amp;view=results" TargetMode="External"/><Relationship Id="rId37" Type="http://schemas.openxmlformats.org/officeDocument/2006/relationships/hyperlink" Target="https://dev.azure.com/realeitesorg/it.grma.rdna/_build/results?buildId=362451&amp;view=results" TargetMode="External"/><Relationship Id="rId40" Type="http://schemas.openxmlformats.org/officeDocument/2006/relationships/hyperlink" Target="https://dev.azure.com/realeitesorg/it.grma.rdna/_build/results?buildId=362463&amp;view=results" TargetMode="External"/><Relationship Id="rId5" Type="http://schemas.openxmlformats.org/officeDocument/2006/relationships/hyperlink" Target="https://dev.azure.com/realeitesorg/it.integration/_build/results?buildId=356949&amp;view=results" TargetMode="External"/><Relationship Id="rId15" Type="http://schemas.openxmlformats.org/officeDocument/2006/relationships/hyperlink" Target="https://dev.azure.com/realeitesorg/it.integration/_build/results?buildId=357248&amp;view=results" TargetMode="External"/><Relationship Id="rId23" Type="http://schemas.openxmlformats.org/officeDocument/2006/relationships/hyperlink" Target="https://dev.azure.com/realeitesorg/it.integration/_build/results?buildId=357569&amp;view=results" TargetMode="External"/><Relationship Id="rId28" Type="http://schemas.openxmlformats.org/officeDocument/2006/relationships/hyperlink" Target="https://dev.azure.com/realeitesorg/it.integration/_build/results?buildId=357623&amp;view=results" TargetMode="External"/><Relationship Id="rId36" Type="http://schemas.openxmlformats.org/officeDocument/2006/relationships/hyperlink" Target="https://dev.azure.com/realeitesorg/it.integration/_build/results?buildId=357701&amp;view=results" TargetMode="External"/><Relationship Id="rId10" Type="http://schemas.openxmlformats.org/officeDocument/2006/relationships/hyperlink" Target="https://dev.azure.com/realeitesorg/it.integration/_build/results?buildId=357053&amp;view=results" TargetMode="External"/><Relationship Id="rId19" Type="http://schemas.openxmlformats.org/officeDocument/2006/relationships/hyperlink" Target="https://dev.azure.com/realeitesorg/it.integration/_build/results?buildId=357417&amp;view=results" TargetMode="External"/><Relationship Id="rId31" Type="http://schemas.openxmlformats.org/officeDocument/2006/relationships/hyperlink" Target="https://dev.azure.com/realeitesorg/it.integration/_build/results?buildId=357666&amp;view=results" TargetMode="External"/><Relationship Id="rId4" Type="http://schemas.openxmlformats.org/officeDocument/2006/relationships/hyperlink" Target="https://dev.azure.com/realeitesorg/it.integration/_build/results?buildId=356948&amp;view=results" TargetMode="External"/><Relationship Id="rId9" Type="http://schemas.openxmlformats.org/officeDocument/2006/relationships/hyperlink" Target="https://dev.azure.com/realeitesorg/it.integration/_build/results?buildId=356957&amp;view=results" TargetMode="External"/><Relationship Id="rId14" Type="http://schemas.openxmlformats.org/officeDocument/2006/relationships/hyperlink" Target="https://dev.azure.com/realeitesorg/it.integration/_build/results?buildId=357243&amp;view=results" TargetMode="External"/><Relationship Id="rId22" Type="http://schemas.openxmlformats.org/officeDocument/2006/relationships/hyperlink" Target="https://dev.azure.com/realeitesorg/it.integration/_build/results?buildId=357560&amp;view=results" TargetMode="External"/><Relationship Id="rId27" Type="http://schemas.openxmlformats.org/officeDocument/2006/relationships/hyperlink" Target="https://dev.azure.com/realeitesorg/it.integration/_build/results?buildId=357614&amp;view=results" TargetMode="External"/><Relationship Id="rId30" Type="http://schemas.openxmlformats.org/officeDocument/2006/relationships/hyperlink" Target="https://dev.azure.com/realeitesorg/it.integration/_build/results?buildId=357648&amp;view=results" TargetMode="External"/><Relationship Id="rId35" Type="http://schemas.openxmlformats.org/officeDocument/2006/relationships/hyperlink" Target="https://dev.azure.com/realeitesorg/it.integration/_build/results?buildId=357698&amp;view=results" TargetMode="External"/><Relationship Id="rId8" Type="http://schemas.openxmlformats.org/officeDocument/2006/relationships/hyperlink" Target="https://dev.azure.com/realeitesorg/it.integration/_build/results?buildId=356956&amp;view=results" TargetMode="External"/><Relationship Id="rId3" Type="http://schemas.openxmlformats.org/officeDocument/2006/relationships/hyperlink" Target="https://dev.azure.com/realeitesorg/it.integration/_build/results?buildId=356947&amp;view=results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dev.azure.com/realeitesorg/it.grma.agenzie/_workitems/edit/2748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 filterMode="1">
    <tabColor rgb="FFFFFF00"/>
  </sheetPr>
  <dimension ref="A1:AE172"/>
  <sheetViews>
    <sheetView tabSelected="1" showRuler="0" topLeftCell="B4" zoomScaleNormal="100" workbookViewId="0">
      <selection activeCell="I15" sqref="I15"/>
    </sheetView>
  </sheetViews>
  <sheetFormatPr defaultRowHeight="14.4" x14ac:dyDescent="0.3"/>
  <cols>
    <col min="1" max="1" width="22.44140625" hidden="1" customWidth="1"/>
    <col min="2" max="2" width="12.21875" style="5" customWidth="1"/>
    <col min="3" max="3" width="66.77734375" style="16" customWidth="1"/>
    <col min="4" max="4" width="19.21875" style="5" customWidth="1"/>
    <col min="5" max="5" width="28.5546875" style="5" customWidth="1"/>
    <col min="6" max="6" width="44.5546875" style="5" customWidth="1"/>
    <col min="7" max="7" width="29.44140625" style="5" customWidth="1"/>
    <col min="8" max="8" width="14.77734375" style="5" customWidth="1"/>
    <col min="9" max="9" width="49.21875" style="5" customWidth="1"/>
    <col min="10" max="10" width="29.44140625" style="5" customWidth="1"/>
    <col min="11" max="11" width="26.5546875" style="5" customWidth="1"/>
    <col min="12" max="12" width="13.5546875" style="5" customWidth="1"/>
    <col min="13" max="13" width="17.5546875" style="5" customWidth="1"/>
    <col min="14" max="14" width="21.21875" style="5" customWidth="1"/>
    <col min="15" max="15" width="17" style="6" customWidth="1"/>
    <col min="16" max="16" width="18.5546875" style="5" customWidth="1"/>
    <col min="26" max="26" width="70.21875" customWidth="1"/>
    <col min="27" max="27" width="83.21875" customWidth="1"/>
    <col min="28" max="28" width="67.77734375" customWidth="1"/>
    <col min="29" max="29" width="37.77734375" customWidth="1"/>
    <col min="30" max="31" width="46" customWidth="1"/>
  </cols>
  <sheetData>
    <row r="1" spans="1:31" ht="41.1" customHeight="1" x14ac:dyDescent="0.3">
      <c r="A1" s="65" t="s">
        <v>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7"/>
      <c r="M1" s="13"/>
      <c r="N1" s="13"/>
      <c r="O1" s="13"/>
      <c r="P1" s="13"/>
    </row>
    <row r="2" spans="1:31" ht="56.25" customHeight="1" x14ac:dyDescent="0.3">
      <c r="A2" s="15" t="s">
        <v>1</v>
      </c>
      <c r="B2" s="1" t="s">
        <v>2</v>
      </c>
      <c r="C2" s="21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52" t="s">
        <v>357</v>
      </c>
      <c r="J2" s="52" t="s">
        <v>358</v>
      </c>
      <c r="K2" s="2" t="s">
        <v>9</v>
      </c>
      <c r="L2" s="2" t="s">
        <v>10</v>
      </c>
      <c r="M2" s="3" t="s">
        <v>11</v>
      </c>
      <c r="N2" s="2" t="s">
        <v>12</v>
      </c>
      <c r="O2" s="2" t="s">
        <v>13</v>
      </c>
      <c r="P2" s="2" t="s">
        <v>14</v>
      </c>
    </row>
    <row r="3" spans="1:31" s="4" customFormat="1" ht="24" customHeight="1" x14ac:dyDescent="0.3">
      <c r="B3" s="19"/>
      <c r="C3" s="14" t="s">
        <v>359</v>
      </c>
      <c r="D3" s="14" t="str" cm="1">
        <f t="array" ref="D3">IFERROR(
    _xlfn.LET(
        _xlpm.risultato,
        IFERROR(
            _xlfn.XLOOKUP(TRIM(UPPER(G3)),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pacchetti'!$E$1:$E$530))=TRIM(UPPER(G3)),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>C20260814_0040</v>
      </c>
      <c r="E3" s="14" t="str" cm="1">
        <f t="array" ref="E3">IF(TRIM($B3)="SG-ANAGRAFE", "Bugni Batte",
    IF(TRIM($B3)="DW01A", "Cauda",
        IFERROR(
            VLOOKUP(
                INDEX('[1]Dettaglio pacchetti'!$AB$1:$AB$530,
                    _xlfn.AGGREGATE(15, 6,
                        (ROW($1:$345))/(ISNUMBER(SEARCH('[1]Dettaglio pacchetti'!$AB$1:$AB$530, $C3))),
                        1)
                ) &amp; "*",
                '[1]Dettaglio pacchetti'!$A$1:$I$530,
                3,
                FALSE
            ),
            IFERROR(VLOOKUP($C3, '[1]Dettaglio pacchetti'!$A$1:$I$530, 3, FALSE), "")
        )
    )
)</f>
        <v>TrenoSinistri</v>
      </c>
      <c r="F3" s="14" t="str" cm="1">
        <f t="array" ref="F3">IF(TRIM($B3)="DW01A", "Rilascio  EDW Estrattori",
    IFERROR(
        VLOOKUP(
            INDEX('[1]Dettaglio pacchetti'!$AB$1:$AB$530,
                _xlfn.AGGREGATE(15, 6,
                    (ROW($1:$345))/(ISNUMBER(SEARCH('[1]Dettaglio pacchetti'!$AB$1:$AB$530, $C3))),
                    1)
            ) &amp; "*",
            '[1]Dettaglio pacchetti'!$A$1:$I$530,
            4,
            FALSE
        ),
        IFERROR(VLOOKUP($C3, '[1]Dettaglio pacchetti'!$A$1:$I$530, 4, FALSE), "")
    )
)</f>
        <v>Rilascio Sinistri Web</v>
      </c>
      <c r="G3" s="14" t="str" cm="1">
        <f t="array" ref="G3">IF(TRIM($B3)="DW01A", "EDW - Estrattori",
    IF(TRIM($B3)="SG-ANAGRAFE", "SIGEA Anagrafe",
        IFERROR(
            VLOOKUP(
                INDEX('[1]Dettaglio pacchetti'!$AB$1:$AB$530,
                    _xlfn.AGGREGATE(15, 6,
                        (ROW($1:$345))/(ISNUMBER(SEARCH('[1]Dettaglio pacchetti'!$AB$1:$AB$530, $C3))),
                        1)
                ) &amp; "*",
                '[1]Dettaglio pacchetti'!$A$1:$I$530,
                5,
                FALSE
            ),
            IFERROR(VLOOKUP($C3, '[1]Dettaglio pacchetti'!$A$1:$I$530, 5, FALSE), "")
        )
    )
)</f>
        <v>SinistriWeb</v>
      </c>
      <c r="H3" s="14" t="str" cm="1">
        <f t="array" ref="H3">IFERROR(
    VLOOKUP(
        INDEX('[1]Dettaglio pacchetti'!$AB$1:$AB$530,
            _xlfn.AGGREGATE(15, 6,
                (ROW($1:$345))/(ISNUMBER(SEARCH('[1]Dettaglio pacchetti'!$AB$1:$AB$530, $C3))),
                1)
        ) &amp; "*",
        '[1]Dettaglio pacchetti'!$A$1:$I$530,
        6,
        FALSE
    ),
    IFERROR(VLOOKUP($C3, '[1]Dettaglio pacchetti'!$A$1:$I$530, 6, FALSE), "")
)</f>
        <v>Azure Devops</v>
      </c>
      <c r="I3" s="7" t="str">
        <f t="shared" ref="I3:I33" si="0">IF(OR(AA3="", AB3=""), "", HYPERLINK(AA3, AB3))</f>
        <v>siweb_EVOLUTIVA</v>
      </c>
      <c r="J3" t="str">
        <f>IF($AC3="", "",
    IF(ISNUMBER(SEARCH("Ikan", $AD3)),
        "",
        HYPERLINK("https://dev.azure.com/realeitesorg/" &amp; $AC3, $AC3)
    )
)</f>
        <v>it.grma.claims</v>
      </c>
      <c r="K3" t="str">
        <f>IF($AC3="", "", IF(ISNUMBER(SEARCH("Ikan", $AD3)), $AC3, "" ) )</f>
        <v/>
      </c>
      <c r="L3" s="14" t="str" cm="1">
        <f t="array" ref="L3">IFERROR(
    VLOOKUP(
        INDEX('[1]Dettaglio pacchetti'!$AB$1:$AB$530,
            _xlfn.AGGREGATE(15, 6,
                ROW($1:$345)/(ISNUMBER(SEARCH('[1]Dettaglio pacchetti'!$AB$1:$AB$530, $C3))),
                1)
        ) &amp; "*",
        '[1]Dettaglio pacchetti'!$A$1:$I$530,
        8,
        FALSE
    ),
    IFERROR(VLOOKUP($C3, '[1]Dettaglio pacchetti'!$A$1:$I$530, 8, FALSE), "")
)</f>
        <v>23.00</v>
      </c>
      <c r="M3" s="14" t="str" cm="1">
        <f t="array" ref="M3">IFERROR(
    VLOOKUP(
        INDEX('[1]Dettaglio pacchetti'!$AB$1:$AB$530,
            _xlfn.AGGREGATE(15, 6,
                ROW($1:$345)/(ISNUMBER(SEARCH('[1]Dettaglio pacchetti'!$AB$1:$AB$530, $C3))),
                1)
        ) &amp; "*",
        '[1]Dettaglio pacchetti'!$A$1:$I$530,
        9,
        FALSE
    ),
    IFERROR(VLOOKUP($C3, '[1]Dettaglio pacchetti'!$A$1:$I$530, 9, FALSE), "")
)</f>
        <v>ear</v>
      </c>
      <c r="N3" s="7"/>
      <c r="O3" s="6" t="s">
        <v>15</v>
      </c>
      <c r="P3" s="6" t="s">
        <v>15</v>
      </c>
      <c r="AA3" t="str" cm="1">
        <f t="array" ref="AA3">IFERROR(VLOOKUP(INDEX('[1]Dettaglio pacchetti'!$AB$1:$AB$530, _xlfn.AGGREGATE(15, 6, (ROW($1:$345))/(ISNUMBER(SEARCH('[1]Dettaglio pacchetti'!$AB$1:$AB$530, $C3))), 1)) &amp; "*", '[1]Dettaglio pacchetti'!$A$1:$N$530, 13, FALSE) &amp; "", "")</f>
        <v>https://dev.azure.com/realeitesorg/it.grma.claims/_build?definitionId=1857</v>
      </c>
      <c r="AB3" t="str" cm="1">
        <f t="array" ref="AB3">IF(ISNUMBER(SEARCH("dev.azure.com", AA3)), IFERROR(VLOOKUP(INDEX('[1]Dettaglio pacchetti'!$AB$1:$AB$530, _xlfn.AGGREGATE(15, 6, (ROW($1:$345))/(ISNUMBER(SEARCH('[1]Dettaglio pacchetti'!$AB$1:$AB$530, $C3))), 1)) &amp; "*", '[1]Dettaglio pacchetti'!$A$1:$N$530, 1, FALSE) &amp; "", ""), "")</f>
        <v>siweb_EVOLUTIVA</v>
      </c>
      <c r="AC3" t="str" cm="1">
        <f t="array" ref="AC3">IFERROR(
    VLOOKUP(
        INDEX('[1]Dettaglio pacchetti'!$AB$1:$AB$530, _xlfn.AGGREGATE(15,6,ROW($1:$345)/(ISNUMBER(SEARCH('[1]Dettaglio pacchetti'!$AB$1:$AB$530,$C3))),1)) &amp; "*",
        '[1]Dettaglio pacchetti'!$A$1:$I$530,
        7,
        FALSE
    ),
    IFERROR(VLOOKUP($C3, '[1]Dettaglio pacchetti'!$A$1:$I$530, 7, FALSE), "")
)</f>
        <v>it.grma.claims</v>
      </c>
      <c r="AD3" t="str" cm="1">
        <f t="array" ref="AD3">IFERROR(
    VLOOKUP(
        INDEX('[1]Dettaglio pacchetti'!$AB$1:$AB$530, _xlfn.AGGREGATE(15,6,ROW($1:$345)/(ISNUMBER(SEARCH('[1]Dettaglio pacchetti'!$AB$1:$AB$530,$C3))),1)) &amp; "*",
        '[1]Dettaglio pacchetti'!$A$1:$I$530,
        6,
        FALSE
    ),
    IFERROR(VLOOKUP($C3, '[1]Dettaglio pacchetti'!$A$1:$I$530, 6, FALSE), "")
)</f>
        <v>Azure Devops</v>
      </c>
      <c r="AE3"/>
    </row>
    <row r="4" spans="1:31" s="4" customFormat="1" ht="14.85" customHeight="1" x14ac:dyDescent="0.3">
      <c r="B4" s="19"/>
      <c r="C4" s="14" t="s">
        <v>359</v>
      </c>
      <c r="D4" s="14" t="str" cm="1">
        <f t="array" ref="D4">IFERROR(
    _xlfn.LET(
        _xlpm.risultato,
        IFERROR(
            _xlfn.XLOOKUP(TRIM(UPPER(G4)),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pacchetti'!$E$1:$E$530))=TRIM(UPPER(G4)),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>C20260814_0040</v>
      </c>
      <c r="E4" s="14" t="str" cm="1">
        <f t="array" ref="E4">IF(TRIM($B4)="SG-ANAGRAFE", "Bugni Batte",
    IF(TRIM($B4)="DW01A", "Cauda",
        IFERROR(
            VLOOKUP(
                INDEX('[1]Dettaglio pacchetti'!$AB$1:$AB$530,
                    _xlfn.AGGREGATE(15, 6,
                        (ROW($1:$345))/(ISNUMBER(SEARCH('[1]Dettaglio pacchetti'!$AB$1:$AB$530, $C4))),
                        1)
                ) &amp; "*",
                '[1]Dettaglio pacchetti'!$A$1:$I$530,
                3,
                FALSE
            ),
            IFERROR(VLOOKUP($C4, '[1]Dettaglio pacchetti'!$A$1:$I$530, 3, FALSE), "")
        )
    )
)</f>
        <v>TrenoSinistri</v>
      </c>
      <c r="F4" s="14" t="str" cm="1">
        <f t="array" ref="F4">IF(TRIM($B4)="DW01A", "Rilascio  EDW Estrattori",
    IFERROR(
        VLOOKUP(
            INDEX('[1]Dettaglio pacchetti'!$AB$1:$AB$530,
                _xlfn.AGGREGATE(15, 6,
                    (ROW($1:$345))/(ISNUMBER(SEARCH('[1]Dettaglio pacchetti'!$AB$1:$AB$530, $C4))),
                    1)
            ) &amp; "*",
            '[1]Dettaglio pacchetti'!$A$1:$I$530,
            4,
            FALSE
        ),
        IFERROR(VLOOKUP($C4, '[1]Dettaglio pacchetti'!$A$1:$I$530, 4, FALSE), "")
    )
)</f>
        <v>Rilascio Sinistri Web</v>
      </c>
      <c r="G4" s="14" t="str" cm="1">
        <f t="array" ref="G4">IF(TRIM($B4)="DW01A", "EDW - Estrattori",
    IF(TRIM($B4)="SG-ANAGRAFE", "SIGEA Anagrafe",
        IFERROR(
            VLOOKUP(
                INDEX('[1]Dettaglio pacchetti'!$AB$1:$AB$530,
                    _xlfn.AGGREGATE(15, 6,
                        (ROW($1:$345))/(ISNUMBER(SEARCH('[1]Dettaglio pacchetti'!$AB$1:$AB$530, $C4))),
                        1)
                ) &amp; "*",
                '[1]Dettaglio pacchetti'!$A$1:$I$530,
                5,
                FALSE
            ),
            IFERROR(VLOOKUP($C4, '[1]Dettaglio pacchetti'!$A$1:$I$530, 5, FALSE), "")
        )
    )
)</f>
        <v>SinistriWeb</v>
      </c>
      <c r="H4" s="14" t="str" cm="1">
        <f t="array" ref="H4">IFERROR(
    VLOOKUP(
        INDEX('[1]Dettaglio pacchetti'!$AB$1:$AB$530,
            _xlfn.AGGREGATE(15, 6,
                (ROW($1:$345))/(ISNUMBER(SEARCH('[1]Dettaglio pacchetti'!$AB$1:$AB$530, $C4))),
                1)
        ) &amp; "*",
        '[1]Dettaglio pacchetti'!$A$1:$I$530,
        6,
        FALSE
    ),
    IFERROR(VLOOKUP($C4, '[1]Dettaglio pacchetti'!$A$1:$I$530, 6, FALSE), "")
)</f>
        <v>Azure Devops</v>
      </c>
      <c r="I4" s="7" t="str">
        <f t="shared" si="0"/>
        <v>siweb_EVOLUTIVA</v>
      </c>
      <c r="J4" t="str">
        <f t="shared" ref="J4:J45" si="1">IF($AC4="", "",
    IF(ISNUMBER(SEARCH("Ikan", $AD4)),
        "",
        HYPERLINK("https://dev.azure.com/realeitesorg/" &amp; $AC4, $AC4)
    )
)</f>
        <v>it.grma.claims</v>
      </c>
      <c r="K4" t="str">
        <f t="shared" ref="K4:K45" si="2">IF($AC4="", "", IF(ISNUMBER(SEARCH("Ikan", $AD4)), $AC4, "" ) )</f>
        <v/>
      </c>
      <c r="L4" s="14" t="str" cm="1">
        <f t="array" ref="L4">IFERROR(
    VLOOKUP(
        INDEX('[1]Dettaglio pacchetti'!$AB$1:$AB$530,
            _xlfn.AGGREGATE(15, 6,
                ROW($1:$345)/(ISNUMBER(SEARCH('[1]Dettaglio pacchetti'!$AB$1:$AB$530, $C4))),
                1)
        ) &amp; "*",
        '[1]Dettaglio pacchetti'!$A$1:$I$530,
        8,
        FALSE
    ),
    IFERROR(VLOOKUP($C4, '[1]Dettaglio pacchetti'!$A$1:$I$530, 8, FALSE), "")
)</f>
        <v>23.00</v>
      </c>
      <c r="M4" s="14" t="str" cm="1">
        <f t="array" ref="M4">IFERROR(
    VLOOKUP(
        INDEX('[1]Dettaglio pacchetti'!$AB$1:$AB$530,
            _xlfn.AGGREGATE(15, 6,
                ROW($1:$345)/(ISNUMBER(SEARCH('[1]Dettaglio pacchetti'!$AB$1:$AB$530, $C4))),
                1)
        ) &amp; "*",
        '[1]Dettaglio pacchetti'!$A$1:$I$530,
        9,
        FALSE
    ),
    IFERROR(VLOOKUP($C4, '[1]Dettaglio pacchetti'!$A$1:$I$530, 9, FALSE), "")
)</f>
        <v>ear</v>
      </c>
      <c r="N4" s="7"/>
      <c r="O4" s="6" t="s">
        <v>15</v>
      </c>
      <c r="P4" s="6" t="s">
        <v>15</v>
      </c>
      <c r="AA4" t="str" cm="1">
        <f t="array" ref="AA4">IFERROR(VLOOKUP(INDEX('[1]Dettaglio pacchetti'!$AB$1:$AB$530, _xlfn.AGGREGATE(15, 6, (ROW($1:$345))/(ISNUMBER(SEARCH('[1]Dettaglio pacchetti'!$AB$1:$AB$530, $C4))), 1)) &amp; "*", '[1]Dettaglio pacchetti'!$A$1:$N$530, 13, FALSE) &amp; "", "")</f>
        <v>https://dev.azure.com/realeitesorg/it.grma.claims/_build?definitionId=1857</v>
      </c>
      <c r="AB4" t="str" cm="1">
        <f t="array" ref="AB4">IF(ISNUMBER(SEARCH("dev.azure.com", AA4)), IFERROR(VLOOKUP(INDEX('[1]Dettaglio pacchetti'!$AB$1:$AB$530, _xlfn.AGGREGATE(15, 6, (ROW($1:$345))/(ISNUMBER(SEARCH('[1]Dettaglio pacchetti'!$AB$1:$AB$530, $C4))), 1)) &amp; "*", '[1]Dettaglio pacchetti'!$A$1:$N$530, 1, FALSE) &amp; "", ""), "")</f>
        <v>siweb_EVOLUTIVA</v>
      </c>
      <c r="AC4" t="str" cm="1">
        <f t="array" ref="AC4">IFERROR(
    VLOOKUP(
        INDEX('[1]Dettaglio pacchetti'!$AB$1:$AB$530, _xlfn.AGGREGATE(15,6,ROW($1:$345)/(ISNUMBER(SEARCH('[1]Dettaglio pacchetti'!$AB$1:$AB$530,$C4))),1)) &amp; "*",
        '[1]Dettaglio pacchetti'!$A$1:$I$530,
        7,
        FALSE
    ),
    IFERROR(VLOOKUP($C4, '[1]Dettaglio pacchetti'!$A$1:$I$530, 7, FALSE), "")
)</f>
        <v>it.grma.claims</v>
      </c>
      <c r="AD4" t="str" cm="1">
        <f t="array" ref="AD4">IFERROR(
    VLOOKUP(
        INDEX('[1]Dettaglio pacchetti'!$AB$1:$AB$530, _xlfn.AGGREGATE(15,6,ROW($1:$345)/(ISNUMBER(SEARCH('[1]Dettaglio pacchetti'!$AB$1:$AB$530,$C4))),1)) &amp; "*",
        '[1]Dettaglio pacchetti'!$A$1:$I$530,
        6,
        FALSE
    ),
    IFERROR(VLOOKUP($C4, '[1]Dettaglio pacchetti'!$A$1:$I$530, 6, FALSE), "")
)</f>
        <v>Azure Devops</v>
      </c>
      <c r="AE4"/>
    </row>
    <row r="5" spans="1:31" s="4" customFormat="1" ht="14.85" customHeight="1" x14ac:dyDescent="0.3">
      <c r="B5" s="19"/>
      <c r="C5" s="61" t="s">
        <v>360</v>
      </c>
      <c r="D5" s="14" t="str" cm="1">
        <f t="array" ref="D5">IFERROR(
    _xlfn.LET(
        _xlpm.risultato,
        IFERROR(
            _xlfn.XLOOKUP(TRIM(UPPER(G5)),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pacchetti'!$E$1:$E$530))=TRIM(UPPER(G5)),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>C20260821_0043</v>
      </c>
      <c r="E5" s="14" t="str" cm="1">
        <f t="array" ref="E5">IF(TRIM($B5)="SG-ANAGRAFE", "Bugni Batte",
    IF(TRIM($B5)="DW01A", "Cauda",
        IFERROR(
            VLOOKUP(
                INDEX('[1]Dettaglio pacchetti'!$AB$1:$AB$530,
                    _xlfn.AGGREGATE(15, 6,
                        (ROW($1:$345))/(ISNUMBER(SEARCH('[1]Dettaglio pacchetti'!$AB$1:$AB$530, $C5))),
                        1)
                ) &amp; "*",
                '[1]Dettaglio pacchetti'!$A$1:$I$530,
                3,
                FALSE
            ),
            IFERROR(VLOOKUP($C5, '[1]Dettaglio pacchetti'!$A$1:$I$530, 3, FALSE), "")
        )
    )
)</f>
        <v>Treno Danni</v>
      </c>
      <c r="F5" s="14" t="str" cm="1">
        <f t="array" ref="F5">IF(TRIM($B5)="DW01A", "Rilascio  EDW Estrattori",
    IFERROR(
        VLOOKUP(
            INDEX('[1]Dettaglio pacchetti'!$AB$1:$AB$530,
                _xlfn.AGGREGATE(15, 6,
                    (ROW($1:$345))/(ISNUMBER(SEARCH('[1]Dettaglio pacchetti'!$AB$1:$AB$530, $C5))),
                    1)
            ) &amp; "*",
            '[1]Dettaglio pacchetti'!$A$1:$I$530,
            4,
            FALSE
        ),
        IFERROR(VLOOKUP($C5, '[1]Dettaglio pacchetti'!$A$1:$I$530, 4, FALSE), "")
    )
)</f>
        <v>Rilascio Pass Portal 7PASPO</v>
      </c>
      <c r="G5" s="14" t="str" cm="1">
        <f t="array" ref="G5">IF(TRIM($B5)="DW01A", "EDW - Estrattori",
    IF(TRIM($B5)="SG-ANAGRAFE", "SIGEA Anagrafe",
        IFERROR(
            VLOOKUP(
                INDEX('[1]Dettaglio pacchetti'!$AB$1:$AB$530,
                    _xlfn.AGGREGATE(15, 6,
                        (ROW($1:$345))/(ISNUMBER(SEARCH('[1]Dettaglio pacchetti'!$AB$1:$AB$530, $C5))),
                        1)
                ) &amp; "*",
                '[1]Dettaglio pacchetti'!$A$1:$I$530,
                5,
                FALSE
            ),
            IFERROR(VLOOKUP($C5, '[1]Dettaglio pacchetti'!$A$1:$I$530, 5, FALSE), "")
        )
    )
)</f>
        <v>Multicanalità - Pass Portal</v>
      </c>
      <c r="H5" s="14" t="str" cm="1">
        <f t="array" ref="H5">IFERROR(
    VLOOKUP(
        INDEX('[1]Dettaglio pacchetti'!$AB$1:$AB$530,
            _xlfn.AGGREGATE(15, 6,
                (ROW($1:$345))/(ISNUMBER(SEARCH('[1]Dettaglio pacchetti'!$AB$1:$AB$530, $C5))),
                1)
        ) &amp; "*",
        '[1]Dettaglio pacchetti'!$A$1:$I$530,
        6,
        FALSE
    ),
    IFERROR(VLOOKUP($C5, '[1]Dettaglio pacchetti'!$A$1:$I$530, 6, FALSE), "")
)</f>
        <v>Azure Devops</v>
      </c>
      <c r="I5" s="7" t="str">
        <f t="shared" si="0"/>
        <v>paspo_EVOLUTIVA</v>
      </c>
      <c r="J5" t="str">
        <f t="shared" si="1"/>
        <v>it.grma.rdna</v>
      </c>
      <c r="K5" t="str">
        <f t="shared" si="2"/>
        <v/>
      </c>
      <c r="L5" s="14" t="str" cm="1">
        <f t="array" ref="L5">IFERROR(
    VLOOKUP(
        INDEX('[1]Dettaglio pacchetti'!$AB$1:$AB$530,
            _xlfn.AGGREGATE(15, 6,
                ROW($1:$345)/(ISNUMBER(SEARCH('[1]Dettaglio pacchetti'!$AB$1:$AB$530, $C5))),
                1)
        ) &amp; "*",
        '[1]Dettaglio pacchetti'!$A$1:$I$530,
        8,
        FALSE
    ),
    IFERROR(VLOOKUP($C5, '[1]Dettaglio pacchetti'!$A$1:$I$530, 8, FALSE), "")
)</f>
        <v>23.00</v>
      </c>
      <c r="M5" s="14" t="str" cm="1">
        <f t="array" ref="M5">IFERROR(
    VLOOKUP(
        INDEX('[1]Dettaglio pacchetti'!$AB$1:$AB$530,
            _xlfn.AGGREGATE(15, 6,
                ROW($1:$345)/(ISNUMBER(SEARCH('[1]Dettaglio pacchetti'!$AB$1:$AB$530, $C5))),
                1)
        ) &amp; "*",
        '[1]Dettaglio pacchetti'!$A$1:$I$530,
        9,
        FALSE
    ),
    IFERROR(VLOOKUP($C5, '[1]Dettaglio pacchetti'!$A$1:$I$530, 9, FALSE), "")
)</f>
        <v>ear</v>
      </c>
      <c r="N5" s="7"/>
      <c r="O5" s="6" t="s">
        <v>15</v>
      </c>
      <c r="P5" s="6" t="s">
        <v>15</v>
      </c>
      <c r="AA5" t="str" cm="1">
        <f t="array" ref="AA5">IFERROR(VLOOKUP(INDEX('[1]Dettaglio pacchetti'!$AB$1:$AB$530, _xlfn.AGGREGATE(15, 6, (ROW($1:$345))/(ISNUMBER(SEARCH('[1]Dettaglio pacchetti'!$AB$1:$AB$530, $C5))), 1)) &amp; "*", '[1]Dettaglio pacchetti'!$A$1:$N$530, 13, FALSE) &amp; "", "")</f>
        <v>https://dev.azure.com/realeitesorg/it.grma.rdna/_build?definitionId=4413</v>
      </c>
      <c r="AB5" t="str" cm="1">
        <f t="array" ref="AB5">IF(ISNUMBER(SEARCH("dev.azure.com", AA5)), IFERROR(VLOOKUP(INDEX('[1]Dettaglio pacchetti'!$AB$1:$AB$530, _xlfn.AGGREGATE(15, 6, (ROW($1:$345))/(ISNUMBER(SEARCH('[1]Dettaglio pacchetti'!$AB$1:$AB$530, $C5))), 1)) &amp; "*", '[1]Dettaglio pacchetti'!$A$1:$N$530, 1, FALSE) &amp; "", ""), "")</f>
        <v>paspo_EVOLUTIVA</v>
      </c>
      <c r="AC5" t="str" cm="1">
        <f t="array" ref="AC5">IFERROR(
    VLOOKUP(
        INDEX('[1]Dettaglio pacchetti'!$AB$1:$AB$530, _xlfn.AGGREGATE(15,6,ROW($1:$345)/(ISNUMBER(SEARCH('[1]Dettaglio pacchetti'!$AB$1:$AB$530,$C5))),1)) &amp; "*",
        '[1]Dettaglio pacchetti'!$A$1:$I$530,
        7,
        FALSE
    ),
    IFERROR(VLOOKUP($C5, '[1]Dettaglio pacchetti'!$A$1:$I$530, 7, FALSE), "")
)</f>
        <v>it.grma.rdna</v>
      </c>
      <c r="AD5" t="str" cm="1">
        <f t="array" ref="AD5">IFERROR(
    VLOOKUP(
        INDEX('[1]Dettaglio pacchetti'!$AB$1:$AB$530, _xlfn.AGGREGATE(15,6,ROW($1:$345)/(ISNUMBER(SEARCH('[1]Dettaglio pacchetti'!$AB$1:$AB$530,$C5))),1)) &amp; "*",
        '[1]Dettaglio pacchetti'!$A$1:$I$530,
        6,
        FALSE
    ),
    IFERROR(VLOOKUP($C5, '[1]Dettaglio pacchetti'!$A$1:$I$530, 6, FALSE), "")
)</f>
        <v>Azure Devops</v>
      </c>
      <c r="AE5"/>
    </row>
    <row r="6" spans="1:31" ht="14.85" customHeight="1" x14ac:dyDescent="0.3">
      <c r="B6" s="19"/>
      <c r="C6" s="61" t="s">
        <v>361</v>
      </c>
      <c r="D6" s="14" t="str" cm="1">
        <f t="array" ref="D6">IFERROR(
    _xlfn.LET(
        _xlpm.risultato,
        IFERROR(
            _xlfn.XLOOKUP(TRIM(UPPER(G6)),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pacchetti'!$E$1:$E$530))=TRIM(UPPER(G6)),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>C20260820_0046</v>
      </c>
      <c r="E6" s="14" t="str" cm="1">
        <f t="array" ref="E6">IF(TRIM($B6)="SG-ANAGRAFE", "Bugni Batte",
    IF(TRIM($B6)="DW01A", "Cauda",
        IFERROR(
            VLOOKUP(
                INDEX('[1]Dettaglio pacchetti'!$AB$1:$AB$530,
                    _xlfn.AGGREGATE(15, 6,
                        (ROW($1:$345))/(ISNUMBER(SEARCH('[1]Dettaglio pacchetti'!$AB$1:$AB$530, $C6))),
                        1)
                ) &amp; "*",
                '[1]Dettaglio pacchetti'!$A$1:$I$530,
                3,
                FALSE
            ),
            IFERROR(VLOOKUP($C6, '[1]Dettaglio pacchetti'!$A$1:$I$530, 3, FALSE), "")
        )
    )
)</f>
        <v>Treno Danni</v>
      </c>
      <c r="F6" s="14" t="str" cm="1">
        <f t="array" ref="F6">IF(TRIM($B6)="DW01A", "Rilascio  EDW Estrattori",
    IFERROR(
        VLOOKUP(
            INDEX('[1]Dettaglio pacchetti'!$AB$1:$AB$530,
                _xlfn.AGGREGATE(15, 6,
                    (ROW($1:$345))/(ISNUMBER(SEARCH('[1]Dettaglio pacchetti'!$AB$1:$AB$530, $C6))),
                    1)
            ) &amp; "*",
            '[1]Dettaglio pacchetti'!$A$1:$I$530,
            4,
            FALSE
        ),
        IFERROR(VLOOKUP($C6, '[1]Dettaglio pacchetti'!$A$1:$I$530, 4, FALSE), "")
    )
)</f>
        <v>Rilascio Pass CompagniaRelease PASON</v>
      </c>
      <c r="G6" s="14" t="str" cm="1">
        <f t="array" ref="G6">IF(TRIM($B6)="DW01A", "EDW - Estrattori",
    IF(TRIM($B6)="SG-ANAGRAFE", "SIGEA Anagrafe",
        IFERROR(
            VLOOKUP(
                INDEX('[1]Dettaglio pacchetti'!$AB$1:$AB$530,
                    _xlfn.AGGREGATE(15, 6,
                        (ROW($1:$345))/(ISNUMBER(SEARCH('[1]Dettaglio pacchetti'!$AB$1:$AB$530, $C6))),
                        1)
                ) &amp; "*",
                '[1]Dettaglio pacchetti'!$A$1:$I$530,
                5,
                FALSE
            ),
            IFERROR(VLOOKUP($C6, '[1]Dettaglio pacchetti'!$A$1:$I$530, 5, FALSE), "")
        )
    )
)</f>
        <v>Pass RE</v>
      </c>
      <c r="H6" s="14" t="str" cm="1">
        <f t="array" ref="H6">IFERROR(
    VLOOKUP(
        INDEX('[1]Dettaglio pacchetti'!$AB$1:$AB$530,
            _xlfn.AGGREGATE(15, 6,
                (ROW($1:$345))/(ISNUMBER(SEARCH('[1]Dettaglio pacchetti'!$AB$1:$AB$530, $C6))),
                1)
        ) &amp; "*",
        '[1]Dettaglio pacchetti'!$A$1:$I$530,
        6,
        FALSE
    ),
    IFERROR(VLOOKUP($C6, '[1]Dettaglio pacchetti'!$A$1:$I$530, 6, FALSE), "")
)</f>
        <v>Azure Devops</v>
      </c>
      <c r="I6" s="7" t="str">
        <f t="shared" si="0"/>
        <v>pason_EVOLUTIVA</v>
      </c>
      <c r="J6" t="str">
        <f t="shared" si="1"/>
        <v>it.grma.rdna</v>
      </c>
      <c r="K6" t="str">
        <f t="shared" si="2"/>
        <v/>
      </c>
      <c r="L6" s="14" t="str" cm="1">
        <f t="array" ref="L6">IFERROR(
    VLOOKUP(
        INDEX('[1]Dettaglio pacchetti'!$AB$1:$AB$530,
            _xlfn.AGGREGATE(15, 6,
                ROW($1:$345)/(ISNUMBER(SEARCH('[1]Dettaglio pacchetti'!$AB$1:$AB$530, $C6))),
                1)
        ) &amp; "*",
        '[1]Dettaglio pacchetti'!$A$1:$I$530,
        8,
        FALSE
    ),
    IFERROR(VLOOKUP($C6, '[1]Dettaglio pacchetti'!$A$1:$I$530, 8, FALSE), "")
)</f>
        <v>23.00</v>
      </c>
      <c r="M6" s="14" t="str" cm="1">
        <f t="array" ref="M6">IFERROR(
    VLOOKUP(
        INDEX('[1]Dettaglio pacchetti'!$AB$1:$AB$530,
            _xlfn.AGGREGATE(15, 6,
                ROW($1:$345)/(ISNUMBER(SEARCH('[1]Dettaglio pacchetti'!$AB$1:$AB$530, $C6))),
                1)
        ) &amp; "*",
        '[1]Dettaglio pacchetti'!$A$1:$I$530,
        9,
        FALSE
    ),
    IFERROR(VLOOKUP($C6, '[1]Dettaglio pacchetti'!$A$1:$I$530, 9, FALSE), "")
)</f>
        <v>ear</v>
      </c>
      <c r="N6" s="7"/>
      <c r="O6" s="6" t="s">
        <v>15</v>
      </c>
      <c r="P6" s="6" t="s">
        <v>15</v>
      </c>
      <c r="AA6" t="str" cm="1">
        <f t="array" ref="AA6">IFERROR(VLOOKUP(INDEX('[1]Dettaglio pacchetti'!$AB$1:$AB$530, _xlfn.AGGREGATE(15, 6, (ROW($1:$345))/(ISNUMBER(SEARCH('[1]Dettaglio pacchetti'!$AB$1:$AB$530, $C6))), 1)) &amp; "*", '[1]Dettaglio pacchetti'!$A$1:$N$530, 13, FALSE) &amp; "", "")</f>
        <v>https://dev.azure.com/realeitesorg/it.grma.rdna/_build?definitionId=2862</v>
      </c>
      <c r="AB6" t="str" cm="1">
        <f t="array" ref="AB6">IF(ISNUMBER(SEARCH("dev.azure.com", AA6)), IFERROR(VLOOKUP(INDEX('[1]Dettaglio pacchetti'!$AB$1:$AB$530, _xlfn.AGGREGATE(15, 6, (ROW($1:$345))/(ISNUMBER(SEARCH('[1]Dettaglio pacchetti'!$AB$1:$AB$530, $C6))), 1)) &amp; "*", '[1]Dettaglio pacchetti'!$A$1:$N$530, 1, FALSE) &amp; "", ""), "")</f>
        <v>pason_EVOLUTIVA</v>
      </c>
      <c r="AC6" t="str" cm="1">
        <f t="array" ref="AC6">IFERROR(
    VLOOKUP(
        INDEX('[1]Dettaglio pacchetti'!$AB$1:$AB$530, _xlfn.AGGREGATE(15,6,ROW($1:$345)/(ISNUMBER(SEARCH('[1]Dettaglio pacchetti'!$AB$1:$AB$530,$C6))),1)) &amp; "*",
        '[1]Dettaglio pacchetti'!$A$1:$I$530,
        7,
        FALSE
    ),
    IFERROR(VLOOKUP($C6, '[1]Dettaglio pacchetti'!$A$1:$I$530, 7, FALSE), "")
)</f>
        <v>it.grma.rdna</v>
      </c>
      <c r="AD6" t="str" cm="1">
        <f t="array" ref="AD6">IFERROR(
    VLOOKUP(
        INDEX('[1]Dettaglio pacchetti'!$AB$1:$AB$530, _xlfn.AGGREGATE(15,6,ROW($1:$345)/(ISNUMBER(SEARCH('[1]Dettaglio pacchetti'!$AB$1:$AB$530,$C6))),1)) &amp; "*",
        '[1]Dettaglio pacchetti'!$A$1:$I$530,
        6,
        FALSE
    ),
    IFERROR(VLOOKUP($C6, '[1]Dettaglio pacchetti'!$A$1:$I$530, 6, FALSE), "")
)</f>
        <v>Azure Devops</v>
      </c>
    </row>
    <row r="7" spans="1:31" ht="14.85" customHeight="1" x14ac:dyDescent="0.3">
      <c r="B7" s="19"/>
      <c r="C7" s="61" t="s">
        <v>362</v>
      </c>
      <c r="D7" s="14" t="str" cm="1">
        <f t="array" ref="D7">IFERROR(
    _xlfn.LET(
        _xlpm.risultato,
        IFERROR(
            _xlfn.XLOOKUP(TRIM(UPPER(G7)),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pacchetti'!$E$1:$E$530))=TRIM(UPPER(G7)),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>C20260820_0046</v>
      </c>
      <c r="E7" s="14" t="str" cm="1">
        <f t="array" ref="E7">IF(TRIM($B7)="SG-ANAGRAFE", "Bugni Batte",
    IF(TRIM($B7)="DW01A", "Cauda",
        IFERROR(
            VLOOKUP(
                INDEX('[1]Dettaglio pacchetti'!$AB$1:$AB$530,
                    _xlfn.AGGREGATE(15, 6,
                        (ROW($1:$345))/(ISNUMBER(SEARCH('[1]Dettaglio pacchetti'!$AB$1:$AB$530, $C7))),
                        1)
                ) &amp; "*",
                '[1]Dettaglio pacchetti'!$A$1:$I$530,
                3,
                FALSE
            ),
            IFERROR(VLOOKUP($C7, '[1]Dettaglio pacchetti'!$A$1:$I$530, 3, FALSE), "")
        )
    )
)</f>
        <v>Treno Danni</v>
      </c>
      <c r="F7" s="14" t="str" cm="1">
        <f t="array" ref="F7">IF(TRIM($B7)="DW01A", "Rilascio  EDW Estrattori",
    IFERROR(
        VLOOKUP(
            INDEX('[1]Dettaglio pacchetti'!$AB$1:$AB$530,
                _xlfn.AGGREGATE(15, 6,
                    (ROW($1:$345))/(ISNUMBER(SEARCH('[1]Dettaglio pacchetti'!$AB$1:$AB$530, $C7))),
                    1)
            ) &amp; "*",
            '[1]Dettaglio pacchetti'!$A$1:$I$530,
            4,
            FALSE
        ),
        IFERROR(VLOOKUP($C7, '[1]Dettaglio pacchetti'!$A$1:$I$530, 4, FALSE), "")
    )
)</f>
        <v>Rilascio Pass compagnia batch PASBA</v>
      </c>
      <c r="G7" s="14" t="str" cm="1">
        <f t="array" ref="G7">IF(TRIM($B7)="DW01A", "EDW - Estrattori",
    IF(TRIM($B7)="SG-ANAGRAFE", "SIGEA Anagrafe",
        IFERROR(
            VLOOKUP(
                INDEX('[1]Dettaglio pacchetti'!$AB$1:$AB$530,
                    _xlfn.AGGREGATE(15, 6,
                        (ROW($1:$345))/(ISNUMBER(SEARCH('[1]Dettaglio pacchetti'!$AB$1:$AB$530, $C7))),
                        1)
                ) &amp; "*",
                '[1]Dettaglio pacchetti'!$A$1:$I$530,
                5,
                FALSE
            ),
            IFERROR(VLOOKUP($C7, '[1]Dettaglio pacchetti'!$A$1:$I$530, 5, FALSE), "")
        )
    )
)</f>
        <v>Pass RE - Batch</v>
      </c>
      <c r="H7" s="14" t="str" cm="1">
        <f t="array" ref="H7">IFERROR(
    VLOOKUP(
        INDEX('[1]Dettaglio pacchetti'!$AB$1:$AB$530,
            _xlfn.AGGREGATE(15, 6,
                (ROW($1:$345))/(ISNUMBER(SEARCH('[1]Dettaglio pacchetti'!$AB$1:$AB$530, $C7))),
                1)
        ) &amp; "*",
        '[1]Dettaglio pacchetti'!$A$1:$I$530,
        6,
        FALSE
    ),
    IFERROR(VLOOKUP($C7, '[1]Dettaglio pacchetti'!$A$1:$I$530, 6, FALSE), "")
)</f>
        <v>Azure Devops</v>
      </c>
      <c r="I7" s="7" t="str">
        <f t="shared" si="0"/>
        <v>pasba_EVOLUTIVA</v>
      </c>
      <c r="J7" t="str">
        <f t="shared" si="1"/>
        <v>it.grma.rdna</v>
      </c>
      <c r="K7" t="str">
        <f t="shared" si="2"/>
        <v/>
      </c>
      <c r="L7" s="14" t="str" cm="1">
        <f t="array" ref="L7">IFERROR(
    VLOOKUP(
        INDEX('[1]Dettaglio pacchetti'!$AB$1:$AB$530,
            _xlfn.AGGREGATE(15, 6,
                ROW($1:$345)/(ISNUMBER(SEARCH('[1]Dettaglio pacchetti'!$AB$1:$AB$530, $C7))),
                1)
        ) &amp; "*",
        '[1]Dettaglio pacchetti'!$A$1:$I$530,
        8,
        FALSE
    ),
    IFERROR(VLOOKUP($C7, '[1]Dettaglio pacchetti'!$A$1:$I$530, 8, FALSE), "")
)</f>
        <v>22.50</v>
      </c>
      <c r="M7" s="14" t="str" cm="1">
        <f t="array" ref="M7">IFERROR(
    VLOOKUP(
        INDEX('[1]Dettaglio pacchetti'!$AB$1:$AB$530,
            _xlfn.AGGREGATE(15, 6,
                ROW($1:$345)/(ISNUMBER(SEARCH('[1]Dettaglio pacchetti'!$AB$1:$AB$530, $C7))),
                1)
        ) &amp; "*",
        '[1]Dettaglio pacchetti'!$A$1:$I$530,
        9,
        FALSE
    ),
    IFERROR(VLOOKUP($C7, '[1]Dettaglio pacchetti'!$A$1:$I$530, 9, FALSE), "")
)</f>
        <v>ear</v>
      </c>
      <c r="N7" s="7"/>
      <c r="O7" s="6" t="s">
        <v>15</v>
      </c>
      <c r="P7" s="6" t="s">
        <v>15</v>
      </c>
      <c r="AA7" t="str" cm="1">
        <f t="array" ref="AA7">IFERROR(VLOOKUP(INDEX('[1]Dettaglio pacchetti'!$AB$1:$AB$530, _xlfn.AGGREGATE(15, 6, (ROW($1:$345))/(ISNUMBER(SEARCH('[1]Dettaglio pacchetti'!$AB$1:$AB$530, $C7))), 1)) &amp; "*", '[1]Dettaglio pacchetti'!$A$1:$N$530, 13, FALSE) &amp; "", "")</f>
        <v>https://dev.azure.com/realeitesorg/it.grma.rdna/_build?definitionId=2978</v>
      </c>
      <c r="AB7" t="str" cm="1">
        <f t="array" ref="AB7">IF(ISNUMBER(SEARCH("dev.azure.com", AA7)), IFERROR(VLOOKUP(INDEX('[1]Dettaglio pacchetti'!$AB$1:$AB$530, _xlfn.AGGREGATE(15, 6, (ROW($1:$345))/(ISNUMBER(SEARCH('[1]Dettaglio pacchetti'!$AB$1:$AB$530, $C7))), 1)) &amp; "*", '[1]Dettaglio pacchetti'!$A$1:$N$530, 1, FALSE) &amp; "", ""), "")</f>
        <v>pasba_EVOLUTIVA</v>
      </c>
      <c r="AC7" t="str" cm="1">
        <f t="array" ref="AC7">IFERROR(
    VLOOKUP(
        INDEX('[1]Dettaglio pacchetti'!$AB$1:$AB$530, _xlfn.AGGREGATE(15,6,ROW($1:$345)/(ISNUMBER(SEARCH('[1]Dettaglio pacchetti'!$AB$1:$AB$530,$C7))),1)) &amp; "*",
        '[1]Dettaglio pacchetti'!$A$1:$I$530,
        7,
        FALSE
    ),
    IFERROR(VLOOKUP($C7, '[1]Dettaglio pacchetti'!$A$1:$I$530, 7, FALSE), "")
)</f>
        <v>it.grma.rdna</v>
      </c>
      <c r="AD7" t="str" cm="1">
        <f t="array" ref="AD7">IFERROR(
    VLOOKUP(
        INDEX('[1]Dettaglio pacchetti'!$AB$1:$AB$530, _xlfn.AGGREGATE(15,6,ROW($1:$345)/(ISNUMBER(SEARCH('[1]Dettaglio pacchetti'!$AB$1:$AB$530,$C7))),1)) &amp; "*",
        '[1]Dettaglio pacchetti'!$A$1:$I$530,
        6,
        FALSE
    ),
    IFERROR(VLOOKUP($C7, '[1]Dettaglio pacchetti'!$A$1:$I$530, 6, FALSE), "")
)</f>
        <v>Azure Devops</v>
      </c>
    </row>
    <row r="8" spans="1:31" s="4" customFormat="1" ht="14.85" customHeight="1" x14ac:dyDescent="0.3">
      <c r="B8" s="19"/>
      <c r="C8" s="62" t="s">
        <v>363</v>
      </c>
      <c r="D8" s="14" t="str" cm="1">
        <f t="array" ref="D8">IFERROR(
    _xlfn.LET(
        _xlpm.risultato,
        IFERROR(
            _xlfn.XLOOKUP(TRIM(UPPER(G8)),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pacchetti'!$E$1:$E$530))=TRIM(UPPER(G8)),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>C20260821_0050</v>
      </c>
      <c r="E8" s="14" t="str" cm="1">
        <f t="array" ref="E8">IF(TRIM($B8)="SG-ANAGRAFE", "Bugni Batte",
    IF(TRIM($B8)="DW01A", "Cauda",
        IFERROR(
            VLOOKUP(
                INDEX('[1]Dettaglio pacchetti'!$AB$1:$AB$530,
                    _xlfn.AGGREGATE(15, 6,
                        (ROW($1:$345))/(ISNUMBER(SEARCH('[1]Dettaglio pacchetti'!$AB$1:$AB$530, $C8))),
                        1)
                ) &amp; "*",
                '[1]Dettaglio pacchetti'!$A$1:$I$530,
                3,
                FALSE
            ),
            IFERROR(VLOOKUP($C8, '[1]Dettaglio pacchetti'!$A$1:$I$530, 3, FALSE), "")
        )
    )
)</f>
        <v>Rocca</v>
      </c>
      <c r="F8" s="14" t="str" cm="1">
        <f t="array" ref="F8">IF(TRIM($B8)="DW01A", "Rilascio  EDW Estrattori",
    IFERROR(
        VLOOKUP(
            INDEX('[1]Dettaglio pacchetti'!$AB$1:$AB$530,
                _xlfn.AGGREGATE(15, 6,
                    (ROW($1:$345))/(ISNUMBER(SEARCH('[1]Dettaglio pacchetti'!$AB$1:$AB$530, $C8))),
                    1)
            ) &amp; "*",
            '[1]Dettaglio pacchetti'!$A$1:$I$530,
            4,
            FALSE
        ),
        IFERROR(VLOOKUP($C8, '[1]Dettaglio pacchetti'!$A$1:$I$530, 4, FALSE), "")
    )
)</f>
        <v>Rilascio Portale Documentale Portafoglio</v>
      </c>
      <c r="G8" s="14" t="str" cm="1">
        <f t="array" ref="G8">IF(TRIM($B8)="DW01A", "EDW - Estrattori",
    IF(TRIM($B8)="SG-ANAGRAFE", "SIGEA Anagrafe",
        IFERROR(
            VLOOKUP(
                INDEX('[1]Dettaglio pacchetti'!$AB$1:$AB$530,
                    _xlfn.AGGREGATE(15, 6,
                        (ROW($1:$345))/(ISNUMBER(SEARCH('[1]Dettaglio pacchetti'!$AB$1:$AB$530, $C8))),
                        1)
                ) &amp; "*",
                '[1]Dettaglio pacchetti'!$A$1:$I$530,
                5,
                FALSE
            ),
            IFERROR(VLOOKUP($C8, '[1]Dettaglio pacchetti'!$A$1:$I$530, 5, FALSE), "")
        )
    )
)</f>
        <v>Portale Documentale Portafoglio</v>
      </c>
      <c r="H8" s="14" t="str" cm="1">
        <f t="array" ref="H8">IFERROR(
    VLOOKUP(
        INDEX('[1]Dettaglio pacchetti'!$AB$1:$AB$530,
            _xlfn.AGGREGATE(15, 6,
                (ROW($1:$345))/(ISNUMBER(SEARCH('[1]Dettaglio pacchetti'!$AB$1:$AB$530, $C8))),
                1)
        ) &amp; "*",
        '[1]Dettaglio pacchetti'!$A$1:$I$530,
        6,
        FALSE
    ),
    IFERROR(VLOOKUP($C8, '[1]Dettaglio pacchetti'!$A$1:$I$530, 6, FALSE), "")
)</f>
        <v>Azure Devops</v>
      </c>
      <c r="I8" s="7" t="str">
        <f t="shared" si="0"/>
        <v>documentum-portafoglio_EVOLUTIVA</v>
      </c>
      <c r="J8" t="str">
        <f t="shared" si="1"/>
        <v>it.ites.deploy.documentale</v>
      </c>
      <c r="K8" t="str">
        <f t="shared" si="2"/>
        <v/>
      </c>
      <c r="L8" s="14" t="str" cm="1">
        <f t="array" ref="L8">IFERROR(
    VLOOKUP(
        INDEX('[1]Dettaglio pacchetti'!$AB$1:$AB$530,
            _xlfn.AGGREGATE(15, 6,
                ROW($1:$345)/(ISNUMBER(SEARCH('[1]Dettaglio pacchetti'!$AB$1:$AB$530, $C8))),
                1)
        ) &amp; "*",
        '[1]Dettaglio pacchetti'!$A$1:$I$530,
        8,
        FALSE
    ),
    IFERROR(VLOOKUP($C8, '[1]Dettaglio pacchetti'!$A$1:$I$530, 8, FALSE), "")
)</f>
        <v>23.00</v>
      </c>
      <c r="M8" s="14" t="str" cm="1">
        <f t="array" ref="M8">IFERROR(
    VLOOKUP(
        INDEX('[1]Dettaglio pacchetti'!$AB$1:$AB$530,
            _xlfn.AGGREGATE(15, 6,
                ROW($1:$345)/(ISNUMBER(SEARCH('[1]Dettaglio pacchetti'!$AB$1:$AB$530, $C8))),
                1)
        ) &amp; "*",
        '[1]Dettaglio pacchetti'!$A$1:$I$530,
        9,
        FALSE
    ),
    IFERROR(VLOOKUP($C8, '[1]Dettaglio pacchetti'!$A$1:$I$530, 9, FALSE), "")
)</f>
        <v>ear</v>
      </c>
      <c r="N8" s="7"/>
      <c r="O8" s="6" t="s">
        <v>15</v>
      </c>
      <c r="P8" s="6" t="s">
        <v>15</v>
      </c>
      <c r="AA8" t="str" cm="1">
        <f t="array" ref="AA8">IFERROR(VLOOKUP(INDEX('[1]Dettaglio pacchetti'!$AB$1:$AB$530, _xlfn.AGGREGATE(15, 6, (ROW($1:$345))/(ISNUMBER(SEARCH('[1]Dettaglio pacchetti'!$AB$1:$AB$530, $C8))), 1)) &amp; "*", '[1]Dettaglio pacchetti'!$A$1:$N$530, 13, FALSE) &amp; "", "")</f>
        <v>https://dev.azure.com/realeitesorg/it.ites.infra.deploy.documentale/_build?definitionId=2174</v>
      </c>
      <c r="AB8" t="str" cm="1">
        <f t="array" ref="AB8">IF(ISNUMBER(SEARCH("dev.azure.com", AA8)), IFERROR(VLOOKUP(INDEX('[1]Dettaglio pacchetti'!$AB$1:$AB$530, _xlfn.AGGREGATE(15, 6, (ROW($1:$345))/(ISNUMBER(SEARCH('[1]Dettaglio pacchetti'!$AB$1:$AB$530, $C8))), 1)) &amp; "*", '[1]Dettaglio pacchetti'!$A$1:$N$530, 1, FALSE) &amp; "", ""), "")</f>
        <v>documentum-portafoglio_EVOLUTIVA</v>
      </c>
      <c r="AC8" t="str" cm="1">
        <f t="array" ref="AC8">IFERROR(
    VLOOKUP(
        INDEX('[1]Dettaglio pacchetti'!$AB$1:$AB$530, _xlfn.AGGREGATE(15,6,ROW($1:$345)/(ISNUMBER(SEARCH('[1]Dettaglio pacchetti'!$AB$1:$AB$530,$C8))),1)) &amp; "*",
        '[1]Dettaglio pacchetti'!$A$1:$I$530,
        7,
        FALSE
    ),
    IFERROR(VLOOKUP($C8, '[1]Dettaglio pacchetti'!$A$1:$I$530, 7, FALSE), "")
)</f>
        <v>it.ites.deploy.documentale</v>
      </c>
      <c r="AD8" t="str" cm="1">
        <f t="array" ref="AD8">IFERROR(
    VLOOKUP(
        INDEX('[1]Dettaglio pacchetti'!$AB$1:$AB$530, _xlfn.AGGREGATE(15,6,ROW($1:$345)/(ISNUMBER(SEARCH('[1]Dettaglio pacchetti'!$AB$1:$AB$530,$C8))),1)) &amp; "*",
        '[1]Dettaglio pacchetti'!$A$1:$I$530,
        6,
        FALSE
    ),
    IFERROR(VLOOKUP($C8, '[1]Dettaglio pacchetti'!$A$1:$I$530, 6, FALSE), "")
)</f>
        <v>Azure Devops</v>
      </c>
      <c r="AE8"/>
    </row>
    <row r="9" spans="1:31" ht="14.85" customHeight="1" x14ac:dyDescent="0.3">
      <c r="B9" s="19"/>
      <c r="C9" s="62" t="s">
        <v>364</v>
      </c>
      <c r="D9" s="14" t="str" cm="1">
        <f t="array" ref="D9">IFERROR(
    _xlfn.LET(
        _xlpm.risultato,
        IFERROR(
            _xlfn.XLOOKUP(TRIM(UPPER(G9)),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pacchetti'!$E$1:$E$530))=TRIM(UPPER(G9)),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9" s="14" t="str" cm="1">
        <f t="array" ref="E9">IF(TRIM($B9)="SG-ANAGRAFE", "Bugni Batte",
    IF(TRIM($B9)="DW01A", "Cauda",
        IFERROR(
            VLOOKUP(
                INDEX('[1]Dettaglio pacchetti'!$AB$1:$AB$530,
                    _xlfn.AGGREGATE(15, 6,
                        (ROW($1:$345))/(ISNUMBER(SEARCH('[1]Dettaglio pacchetti'!$AB$1:$AB$530, $C9))),
                        1)
                ) &amp; "*",
                '[1]Dettaglio pacchetti'!$A$1:$I$530,
                3,
                FALSE
            ),
            IFERROR(VLOOKUP($C9, '[1]Dettaglio pacchetti'!$A$1:$I$530, 3, FALSE), "")
        )
    )
)</f>
        <v>Rocca</v>
      </c>
      <c r="F9" s="14" t="str" cm="1">
        <f t="array" ref="F9">IF(TRIM($B9)="DW01A", "Rilascio  EDW Estrattori",
    IFERROR(
        VLOOKUP(
            INDEX('[1]Dettaglio pacchetti'!$AB$1:$AB$530,
                _xlfn.AGGREGATE(15, 6,
                    (ROW($1:$345))/(ISNUMBER(SEARCH('[1]Dettaglio pacchetti'!$AB$1:$AB$530, $C9))),
                    1)
            ) &amp; "*",
            '[1]Dettaglio pacchetti'!$A$1:$I$530,
            4,
            FALSE
        ),
        IFERROR(VLOOKUP($C9, '[1]Dettaglio pacchetti'!$A$1:$I$530, 4, FALSE), "")
    )
)</f>
        <v>Rilascio Portale DocumentaleSinistri 8EMC02A</v>
      </c>
      <c r="G9" s="14" t="str" cm="1">
        <f t="array" ref="G9">IF(TRIM($B9)="DW01A", "EDW - Estrattori",
    IF(TRIM($B9)="SG-ANAGRAFE", "SIGEA Anagrafe",
        IFERROR(
            VLOOKUP(
                INDEX('[1]Dettaglio pacchetti'!$AB$1:$AB$530,
                    _xlfn.AGGREGATE(15, 6,
                        (ROW($1:$345))/(ISNUMBER(SEARCH('[1]Dettaglio pacchetti'!$AB$1:$AB$530, $C9))),
                        1)
                ) &amp; "*",
                '[1]Dettaglio pacchetti'!$A$1:$I$530,
                5,
                FALSE
            ),
            IFERROR(VLOOKUP($C9, '[1]Dettaglio pacchetti'!$A$1:$I$530, 5, FALSE), "")
        )
    )
)</f>
        <v>Portale Documentale Sinistri</v>
      </c>
      <c r="H9" s="14" t="str" cm="1">
        <f t="array" ref="H9">IFERROR(
    VLOOKUP(
        INDEX('[1]Dettaglio pacchetti'!$AB$1:$AB$530,
            _xlfn.AGGREGATE(15, 6,
                (ROW($1:$345))/(ISNUMBER(SEARCH('[1]Dettaglio pacchetti'!$AB$1:$AB$530, $C9))),
                1)
        ) &amp; "*",
        '[1]Dettaglio pacchetti'!$A$1:$I$530,
        6,
        FALSE
    ),
    IFERROR(VLOOKUP($C9, '[1]Dettaglio pacchetti'!$A$1:$I$530, 6, FALSE), "")
)</f>
        <v>Azure Devops</v>
      </c>
      <c r="I9" s="7" t="str">
        <f t="shared" si="0"/>
        <v>deploy.documentale_8emc02a_EVOLUTIVA</v>
      </c>
      <c r="J9" t="str">
        <f t="shared" si="1"/>
        <v>it.ites.deploy.documentale</v>
      </c>
      <c r="K9" t="str">
        <f t="shared" si="2"/>
        <v/>
      </c>
      <c r="L9" s="14" t="str" cm="1">
        <f t="array" ref="L9">IFERROR(
    VLOOKUP(
        INDEX('[1]Dettaglio pacchetti'!$AB$1:$AB$530,
            _xlfn.AGGREGATE(15, 6,
                ROW($1:$345)/(ISNUMBER(SEARCH('[1]Dettaglio pacchetti'!$AB$1:$AB$530, $C9))),
                1)
        ) &amp; "*",
        '[1]Dettaglio pacchetti'!$A$1:$I$530,
        8,
        FALSE
    ),
    IFERROR(VLOOKUP($C9, '[1]Dettaglio pacchetti'!$A$1:$I$530, 8, FALSE), "")
)</f>
        <v>23.00</v>
      </c>
      <c r="M9" s="14" t="str" cm="1">
        <f t="array" ref="M9">IFERROR(
    VLOOKUP(
        INDEX('[1]Dettaglio pacchetti'!$AB$1:$AB$530,
            _xlfn.AGGREGATE(15, 6,
                ROW($1:$345)/(ISNUMBER(SEARCH('[1]Dettaglio pacchetti'!$AB$1:$AB$530, $C9))),
                1)
        ) &amp; "*",
        '[1]Dettaglio pacchetti'!$A$1:$I$530,
        9,
        FALSE
    ),
    IFERROR(VLOOKUP($C9, '[1]Dettaglio pacchetti'!$A$1:$I$530, 9, FALSE), "")
)</f>
        <v>ear</v>
      </c>
      <c r="N9" s="7"/>
      <c r="O9" s="6" t="s">
        <v>15</v>
      </c>
      <c r="P9" s="6" t="s">
        <v>15</v>
      </c>
      <c r="AA9" t="str" cm="1">
        <f t="array" ref="AA9">IFERROR(VLOOKUP(INDEX('[1]Dettaglio pacchetti'!$AB$1:$AB$530, _xlfn.AGGREGATE(15, 6, (ROW($1:$345))/(ISNUMBER(SEARCH('[1]Dettaglio pacchetti'!$AB$1:$AB$530, $C9))), 1)) &amp; "*", '[1]Dettaglio pacchetti'!$A$1:$N$530, 13, FALSE) &amp; "", "")</f>
        <v>https://dev.azure.com/realeitesorg/it.ites.deploy.documentale/_build?definitionId=4998</v>
      </c>
      <c r="AB9" t="str" cm="1">
        <f t="array" ref="AB9">IF(ISNUMBER(SEARCH("dev.azure.com", AA9)), IFERROR(VLOOKUP(INDEX('[1]Dettaglio pacchetti'!$AB$1:$AB$530, _xlfn.AGGREGATE(15, 6, (ROW($1:$345))/(ISNUMBER(SEARCH('[1]Dettaglio pacchetti'!$AB$1:$AB$530, $C9))), 1)) &amp; "*", '[1]Dettaglio pacchetti'!$A$1:$N$530, 1, FALSE) &amp; "", ""), "")</f>
        <v>deploy.documentale_8emc02a_EVOLUTIVA</v>
      </c>
      <c r="AC9" t="str" cm="1">
        <f t="array" ref="AC9">IFERROR(
    VLOOKUP(
        INDEX('[1]Dettaglio pacchetti'!$AB$1:$AB$530, _xlfn.AGGREGATE(15,6,ROW($1:$345)/(ISNUMBER(SEARCH('[1]Dettaglio pacchetti'!$AB$1:$AB$530,$C9))),1)) &amp; "*",
        '[1]Dettaglio pacchetti'!$A$1:$I$530,
        7,
        FALSE
    ),
    IFERROR(VLOOKUP($C9, '[1]Dettaglio pacchetti'!$A$1:$I$530, 7, FALSE), "")
)</f>
        <v>it.ites.deploy.documentale</v>
      </c>
      <c r="AD9" t="str" cm="1">
        <f t="array" ref="AD9">IFERROR(
    VLOOKUP(
        INDEX('[1]Dettaglio pacchetti'!$AB$1:$AB$530, _xlfn.AGGREGATE(15,6,ROW($1:$345)/(ISNUMBER(SEARCH('[1]Dettaglio pacchetti'!$AB$1:$AB$530,$C9))),1)) &amp; "*",
        '[1]Dettaglio pacchetti'!$A$1:$I$530,
        6,
        FALSE
    ),
    IFERROR(VLOOKUP($C9, '[1]Dettaglio pacchetti'!$A$1:$I$530, 6, FALSE), "")
)</f>
        <v>Azure Devops</v>
      </c>
    </row>
    <row r="10" spans="1:31" s="4" customFormat="1" ht="14.85" customHeight="1" x14ac:dyDescent="0.3">
      <c r="B10" s="19"/>
      <c r="C10" s="62" t="s">
        <v>365</v>
      </c>
      <c r="D10" s="14" t="str" cm="1">
        <f t="array" ref="D10">IFERROR(
    _xlfn.LET(
        _xlpm.risultato,
        IFERROR(
            _xlfn.XLOOKUP(TRIM(UPPER(G10)),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pacchetti'!$E$1:$E$530))=TRIM(UPPER(G10)),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10" s="14" t="str" cm="1">
        <f t="array" ref="E10">IF(TRIM($B10)="SG-ANAGRAFE", "Bugni Batte",
    IF(TRIM($B10)="DW01A", "Cauda",
        IFERROR(
            VLOOKUP(
                INDEX('[1]Dettaglio pacchetti'!$AB$1:$AB$530,
                    _xlfn.AGGREGATE(15, 6,
                        (ROW($1:$345))/(ISNUMBER(SEARCH('[1]Dettaglio pacchetti'!$AB$1:$AB$530, $C10))),
                        1)
                ) &amp; "*",
                '[1]Dettaglio pacchetti'!$A$1:$I$530,
                3,
                FALSE
            ),
            IFERROR(VLOOKUP($C10, '[1]Dettaglio pacchetti'!$A$1:$I$530, 3, FALSE), "")
        )
    )
)</f>
        <v>Rocca</v>
      </c>
      <c r="F10" s="14" t="str" cm="1">
        <f t="array" ref="F10">IF(TRIM($B10)="DW01A", "Rilascio  EDW Estrattori",
    IFERROR(
        VLOOKUP(
            INDEX('[1]Dettaglio pacchetti'!$AB$1:$AB$530,
                _xlfn.AGGREGATE(15, 6,
                    (ROW($1:$345))/(ISNUMBER(SEARCH('[1]Dettaglio pacchetti'!$AB$1:$AB$530, $C10))),
                    1)
            ) &amp; "*",
            '[1]Dettaglio pacchetti'!$A$1:$I$530,
            4,
            FALSE
        ),
        IFERROR(VLOOKUP($C10, '[1]Dettaglio pacchetti'!$A$1:$I$530, 4, FALSE), "")
    )
)</f>
        <v>Rilascio Portale DocumentaleSinistri 8EMC02A</v>
      </c>
      <c r="G10" s="14" t="str" cm="1">
        <f t="array" ref="G10">IF(TRIM($B10)="DW01A", "EDW - Estrattori",
    IF(TRIM($B10)="SG-ANAGRAFE", "SIGEA Anagrafe",
        IFERROR(
            VLOOKUP(
                INDEX('[1]Dettaglio pacchetti'!$AB$1:$AB$530,
                    _xlfn.AGGREGATE(15, 6,
                        (ROW($1:$345))/(ISNUMBER(SEARCH('[1]Dettaglio pacchetti'!$AB$1:$AB$530, $C10))),
                        1)
                ) &amp; "*",
                '[1]Dettaglio pacchetti'!$A$1:$I$530,
                5,
                FALSE
            ),
            IFERROR(VLOOKUP($C10, '[1]Dettaglio pacchetti'!$A$1:$I$530, 5, FALSE), "")
        )
    )
)</f>
        <v>Portale Documentale Sinistri</v>
      </c>
      <c r="H10" s="14"/>
      <c r="I10" s="7" t="str">
        <f t="shared" si="0"/>
        <v>deploy.documentale_8emc02a_CORRETTIVA</v>
      </c>
      <c r="J10" t="str">
        <f t="shared" si="1"/>
        <v>it.ites.deploy.documentale</v>
      </c>
      <c r="K10" t="str">
        <f t="shared" si="2"/>
        <v/>
      </c>
      <c r="L10" s="14" t="str" cm="1">
        <f t="array" ref="L10">IFERROR(
    VLOOKUP(
        INDEX('[1]Dettaglio pacchetti'!$AB$1:$AB$530,
            _xlfn.AGGREGATE(15, 6,
                ROW($1:$345)/(ISNUMBER(SEARCH('[1]Dettaglio pacchetti'!$AB$1:$AB$530, $C10))),
                1)
        ) &amp; "*",
        '[1]Dettaglio pacchetti'!$A$1:$I$530,
        8,
        FALSE
    ),
    IFERROR(VLOOKUP($C10, '[1]Dettaglio pacchetti'!$A$1:$I$530, 8, FALSE), "")
)</f>
        <v>23.00</v>
      </c>
      <c r="M10" s="14" t="str" cm="1">
        <f t="array" ref="M10">IFERROR(
    VLOOKUP(
        INDEX('[1]Dettaglio pacchetti'!$AB$1:$AB$530,
            _xlfn.AGGREGATE(15, 6,
                ROW($1:$345)/(ISNUMBER(SEARCH('[1]Dettaglio pacchetti'!$AB$1:$AB$530, $C10))),
                1)
        ) &amp; "*",
        '[1]Dettaglio pacchetti'!$A$1:$I$530,
        9,
        FALSE
    ),
    IFERROR(VLOOKUP($C10, '[1]Dettaglio pacchetti'!$A$1:$I$530, 9, FALSE), "")
)</f>
        <v>ear</v>
      </c>
      <c r="N10" s="7"/>
      <c r="O10" s="6" t="s">
        <v>15</v>
      </c>
      <c r="P10" s="6" t="s">
        <v>15</v>
      </c>
      <c r="AA10" t="str" cm="1">
        <f t="array" ref="AA10">IFERROR(VLOOKUP(INDEX('[1]Dettaglio pacchetti'!$AB$1:$AB$530, _xlfn.AGGREGATE(15, 6, (ROW($1:$345))/(ISNUMBER(SEARCH('[1]Dettaglio pacchetti'!$AB$1:$AB$530, $C10))), 1)) &amp; "*", '[1]Dettaglio pacchetti'!$A$1:$N$530, 13, FALSE) &amp; "", "")</f>
        <v>https://dev.azure.com/realeitesorg/it.ites.deploy.documentale/_build?definitionId=5001</v>
      </c>
      <c r="AB10" t="str" cm="1">
        <f t="array" ref="AB10">IF(ISNUMBER(SEARCH("dev.azure.com", AA10)), IFERROR(VLOOKUP(INDEX('[1]Dettaglio pacchetti'!$AB$1:$AB$530, _xlfn.AGGREGATE(15, 6, (ROW($1:$345))/(ISNUMBER(SEARCH('[1]Dettaglio pacchetti'!$AB$1:$AB$530, $C10))), 1)) &amp; "*", '[1]Dettaglio pacchetti'!$A$1:$N$530, 1, FALSE) &amp; "", ""), "")</f>
        <v>deploy.documentale_8emc02a_CORRETTIVA</v>
      </c>
      <c r="AC10" t="str" cm="1">
        <f t="array" ref="AC10">IFERROR(
    VLOOKUP(
        INDEX('[1]Dettaglio pacchetti'!$AB$1:$AB$530, _xlfn.AGGREGATE(15,6,ROW($1:$345)/(ISNUMBER(SEARCH('[1]Dettaglio pacchetti'!$AB$1:$AB$530,$C10))),1)) &amp; "*",
        '[1]Dettaglio pacchetti'!$A$1:$I$530,
        7,
        FALSE
    ),
    IFERROR(VLOOKUP($C10, '[1]Dettaglio pacchetti'!$A$1:$I$530, 7, FALSE), "")
)</f>
        <v>it.ites.deploy.documentale</v>
      </c>
      <c r="AD10" t="str" cm="1">
        <f t="array" ref="AD10">IFERROR(
    VLOOKUP(
        INDEX('[1]Dettaglio pacchetti'!$AB$1:$AB$530, _xlfn.AGGREGATE(15,6,ROW($1:$345)/(ISNUMBER(SEARCH('[1]Dettaglio pacchetti'!$AB$1:$AB$530,$C10))),1)) &amp; "*",
        '[1]Dettaglio pacchetti'!$A$1:$I$530,
        6,
        FALSE
    ),
    IFERROR(VLOOKUP($C10, '[1]Dettaglio pacchetti'!$A$1:$I$530, 6, FALSE), "")
)</f>
        <v>Azure Devops</v>
      </c>
      <c r="AE10"/>
    </row>
    <row r="11" spans="1:31" s="4" customFormat="1" ht="14.85" customHeight="1" x14ac:dyDescent="0.3">
      <c r="B11" s="19"/>
      <c r="C11" s="61" t="s">
        <v>366</v>
      </c>
      <c r="D11" s="14" t="str" cm="1">
        <f t="array" ref="D11">IFERROR(
    _xlfn.LET(
        _xlpm.risultato,
        IFERROR(
            _xlfn.XLOOKUP(TRIM(UPPER(G11)),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pacchetti'!$E$1:$E$530))=TRIM(UPPER(G11)),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>C20260821_0043</v>
      </c>
      <c r="E11" s="14" t="str" cm="1">
        <f t="array" ref="E11">IF(TRIM($B11)="SG-ANAGRAFE", "Bugni Batte",
    IF(TRIM($B11)="DW01A", "Cauda",
        IFERROR(
            VLOOKUP(
                INDEX('[1]Dettaglio pacchetti'!$AB$1:$AB$530,
                    _xlfn.AGGREGATE(15, 6,
                        (ROW($1:$345))/(ISNUMBER(SEARCH('[1]Dettaglio pacchetti'!$AB$1:$AB$530, $C11))),
                        1)
                ) &amp; "*",
                '[1]Dettaglio pacchetti'!$A$1:$I$530,
                3,
                FALSE
            ),
            IFERROR(VLOOKUP($C11, '[1]Dettaglio pacchetti'!$A$1:$I$530, 3, FALSE), "")
        )
    )
)</f>
        <v>Treno Danni</v>
      </c>
      <c r="F11" s="14" t="str" cm="1">
        <f t="array" ref="F11">IF(TRIM($B11)="DW01A", "Rilascio  EDW Estrattori",
    IFERROR(
        VLOOKUP(
            INDEX('[1]Dettaglio pacchetti'!$AB$1:$AB$530,
                _xlfn.AGGREGATE(15, 6,
                    (ROW($1:$345))/(ISNUMBER(SEARCH('[1]Dettaglio pacchetti'!$AB$1:$AB$530, $C11))),
                    1)
            ) &amp; "*",
            '[1]Dettaglio pacchetti'!$A$1:$I$530,
            4,
            FALSE
        ),
        IFERROR(VLOOKUP($C11, '[1]Dettaglio pacchetti'!$A$1:$I$530, 4, FALSE), "")
    )
)</f>
        <v>Rilascio Pass Portal 7PASPO</v>
      </c>
      <c r="G11" s="14" t="str" cm="1">
        <f t="array" ref="G11">IF(TRIM($B11)="DW01A", "EDW - Estrattori",
    IF(TRIM($B11)="SG-ANAGRAFE", "SIGEA Anagrafe",
        IFERROR(
            VLOOKUP(
                INDEX('[1]Dettaglio pacchetti'!$AB$1:$AB$530,
                    _xlfn.AGGREGATE(15, 6,
                        (ROW($1:$345))/(ISNUMBER(SEARCH('[1]Dettaglio pacchetti'!$AB$1:$AB$530, $C11))),
                        1)
                ) &amp; "*",
                '[1]Dettaglio pacchetti'!$A$1:$I$530,
                5,
                FALSE
            ),
            IFERROR(VLOOKUP($C11, '[1]Dettaglio pacchetti'!$A$1:$I$530, 5, FALSE), "")
        )
    )
)</f>
        <v>Multicanalità - Pass Portal</v>
      </c>
      <c r="H11" s="14"/>
      <c r="I11" s="7" t="str">
        <f t="shared" si="0"/>
        <v>paspo_CORRETTIVA</v>
      </c>
      <c r="J11" t="str">
        <f t="shared" si="1"/>
        <v>it.grma.rdna</v>
      </c>
      <c r="K11" t="str">
        <f t="shared" si="2"/>
        <v/>
      </c>
      <c r="L11" s="14" t="str" cm="1">
        <f t="array" ref="L11">IFERROR(
    VLOOKUP(
        INDEX('[1]Dettaglio pacchetti'!$AB$1:$AB$530,
            _xlfn.AGGREGATE(15, 6,
                ROW($1:$345)/(ISNUMBER(SEARCH('[1]Dettaglio pacchetti'!$AB$1:$AB$530, $C11))),
                1)
        ) &amp; "*",
        '[1]Dettaglio pacchetti'!$A$1:$I$530,
        8,
        FALSE
    ),
    IFERROR(VLOOKUP($C11, '[1]Dettaglio pacchetti'!$A$1:$I$530, 8, FALSE), "")
)</f>
        <v>23.00</v>
      </c>
      <c r="M11" s="14" t="str" cm="1">
        <f t="array" ref="M11">IFERROR(
    VLOOKUP(
        INDEX('[1]Dettaglio pacchetti'!$AB$1:$AB$530,
            _xlfn.AGGREGATE(15, 6,
                ROW($1:$345)/(ISNUMBER(SEARCH('[1]Dettaglio pacchetti'!$AB$1:$AB$530, $C11))),
                1)
        ) &amp; "*",
        '[1]Dettaglio pacchetti'!$A$1:$I$530,
        9,
        FALSE
    ),
    IFERROR(VLOOKUP($C11, '[1]Dettaglio pacchetti'!$A$1:$I$530, 9, FALSE), "")
)</f>
        <v>ear</v>
      </c>
      <c r="N11" s="7"/>
      <c r="O11" s="6" t="s">
        <v>15</v>
      </c>
      <c r="P11" s="6" t="s">
        <v>15</v>
      </c>
      <c r="AA11" t="str" cm="1">
        <f t="array" ref="AA11">IFERROR(VLOOKUP(INDEX('[1]Dettaglio pacchetti'!$AB$1:$AB$530, _xlfn.AGGREGATE(15, 6, (ROW($1:$345))/(ISNUMBER(SEARCH('[1]Dettaglio pacchetti'!$AB$1:$AB$530, $C11))), 1)) &amp; "*", '[1]Dettaglio pacchetti'!$A$1:$N$530, 13, FALSE) &amp; "", "")</f>
        <v>https://dev.azure.com/realeitesorg/it.grma.rdna/_build?definitionId=4415&amp;_a=summary</v>
      </c>
      <c r="AB11" t="str" cm="1">
        <f t="array" ref="AB11">IF(ISNUMBER(SEARCH("dev.azure.com", AA11)), IFERROR(VLOOKUP(INDEX('[1]Dettaglio pacchetti'!$AB$1:$AB$530, _xlfn.AGGREGATE(15, 6, (ROW($1:$345))/(ISNUMBER(SEARCH('[1]Dettaglio pacchetti'!$AB$1:$AB$530, $C11))), 1)) &amp; "*", '[1]Dettaglio pacchetti'!$A$1:$N$530, 1, FALSE) &amp; "", ""), "")</f>
        <v>paspo_CORRETTIVA</v>
      </c>
      <c r="AC11" t="str" cm="1">
        <f t="array" ref="AC11">IFERROR(
    VLOOKUP(
        INDEX('[1]Dettaglio pacchetti'!$AB$1:$AB$530, _xlfn.AGGREGATE(15,6,ROW($1:$345)/(ISNUMBER(SEARCH('[1]Dettaglio pacchetti'!$AB$1:$AB$530,$C11))),1)) &amp; "*",
        '[1]Dettaglio pacchetti'!$A$1:$I$530,
        7,
        FALSE
    ),
    IFERROR(VLOOKUP($C11, '[1]Dettaglio pacchetti'!$A$1:$I$530, 7, FALSE), "")
)</f>
        <v>it.grma.rdna</v>
      </c>
      <c r="AD11" t="str" cm="1">
        <f t="array" ref="AD11">IFERROR(
    VLOOKUP(
        INDEX('[1]Dettaglio pacchetti'!$AB$1:$AB$530, _xlfn.AGGREGATE(15,6,ROW($1:$345)/(ISNUMBER(SEARCH('[1]Dettaglio pacchetti'!$AB$1:$AB$530,$C11))),1)) &amp; "*",
        '[1]Dettaglio pacchetti'!$A$1:$I$530,
        6,
        FALSE
    ),
    IFERROR(VLOOKUP($C11, '[1]Dettaglio pacchetti'!$A$1:$I$530, 6, FALSE), "")
)</f>
        <v>Azure Devops</v>
      </c>
      <c r="AE11"/>
    </row>
    <row r="12" spans="1:31" s="4" customFormat="1" ht="14.85" customHeight="1" x14ac:dyDescent="0.3">
      <c r="B12" s="17"/>
      <c r="C12" s="62" t="s">
        <v>367</v>
      </c>
      <c r="D12" s="14" t="str" cm="1">
        <f t="array" ref="D12">IFERROR(
    _xlfn.LET(
        _xlpm.risultato,
        IFERROR(
            _xlfn.XLOOKUP(TRIM(UPPER(G12)),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pacchetti'!$E$1:$E$530))=TRIM(UPPER(G12)),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>C20260814_0040</v>
      </c>
      <c r="E12" s="14" t="str" cm="1">
        <f t="array" ref="E12">IF(TRIM($B12)="SG-ANAGRAFE", "Bugni Batte",
    IF(TRIM($B12)="DW01A", "Cauda",
        IFERROR(
            VLOOKUP(
                INDEX('[1]Dettaglio pacchetti'!$AB$1:$AB$530,
                    _xlfn.AGGREGATE(15, 6,
                        (ROW($1:$345))/(ISNUMBER(SEARCH('[1]Dettaglio pacchetti'!$AB$1:$AB$530, $C12))),
                        1)
                ) &amp; "*",
                '[1]Dettaglio pacchetti'!$A$1:$I$530,
                3,
                FALSE
            ),
            IFERROR(VLOOKUP($C12, '[1]Dettaglio pacchetti'!$A$1:$I$530, 3, FALSE), "")
        )
    )
)</f>
        <v>Treno Sinistri</v>
      </c>
      <c r="F12" s="14" t="str" cm="1">
        <f t="array" ref="F12">IF(TRIM($B12)="DW01A", "Rilascio  EDW Estrattori",
    IFERROR(
        VLOOKUP(
            INDEX('[1]Dettaglio pacchetti'!$AB$1:$AB$530,
                _xlfn.AGGREGATE(15, 6,
                    (ROW($1:$345))/(ISNUMBER(SEARCH('[1]Dettaglio pacchetti'!$AB$1:$AB$530, $C12))),
                    1)
            ) &amp; "*",
            '[1]Dettaglio pacchetti'!$A$1:$I$530,
            4,
            FALSE
        ),
        IFERROR(VLOOKUP($C12, '[1]Dettaglio pacchetti'!$A$1:$I$530, 4, FALSE), "")
    )
)</f>
        <v>Rilascio Sinistri Web - CARD2017</v>
      </c>
      <c r="G12" s="14" t="str" cm="1">
        <f t="array" ref="G12">IF(TRIM($B12)="DW01A", "EDW - Estrattori",
    IF(TRIM($B12)="SG-ANAGRAFE", "SIGEA Anagrafe",
        IFERROR(
            VLOOKUP(
                INDEX('[1]Dettaglio pacchetti'!$AB$1:$AB$530,
                    _xlfn.AGGREGATE(15, 6,
                        (ROW($1:$345))/(ISNUMBER(SEARCH('[1]Dettaglio pacchetti'!$AB$1:$AB$530, $C12))),
                        1)
                ) &amp; "*",
                '[1]Dettaglio pacchetti'!$A$1:$I$530,
                5,
                FALSE
            ),
            IFERROR(VLOOKUP($C12, '[1]Dettaglio pacchetti'!$A$1:$I$530, 5, FALSE), "")
        )
    )
)</f>
        <v>SinistriWeb - Batch</v>
      </c>
      <c r="H12" s="14"/>
      <c r="I12" s="7" t="str">
        <f t="shared" si="0"/>
        <v>card2017_EVOLUTIVA</v>
      </c>
      <c r="J12" t="str">
        <f t="shared" si="1"/>
        <v>it.grma.claims</v>
      </c>
      <c r="K12" t="str">
        <f t="shared" si="2"/>
        <v/>
      </c>
      <c r="L12" s="14" t="str" cm="1">
        <f t="array" ref="L12">IFERROR(
    VLOOKUP(
        INDEX('[1]Dettaglio pacchetti'!$AB$1:$AB$530,
            _xlfn.AGGREGATE(15, 6,
                ROW($1:$345)/(ISNUMBER(SEARCH('[1]Dettaglio pacchetti'!$AB$1:$AB$530, $C12))),
                1)
        ) &amp; "*",
        '[1]Dettaglio pacchetti'!$A$1:$I$530,
        8,
        FALSE
    ),
    IFERROR(VLOOKUP($C12, '[1]Dettaglio pacchetti'!$A$1:$I$530, 8, FALSE), "")
)</f>
        <v>23.00</v>
      </c>
      <c r="M12" s="14" t="str" cm="1">
        <f t="array" ref="M12">IFERROR(
    VLOOKUP(
        INDEX('[1]Dettaglio pacchetti'!$AB$1:$AB$530,
            _xlfn.AGGREGATE(15, 6,
                ROW($1:$345)/(ISNUMBER(SEARCH('[1]Dettaglio pacchetti'!$AB$1:$AB$530, $C12))),
                1)
        ) &amp; "*",
        '[1]Dettaglio pacchetti'!$A$1:$I$530,
        9,
        FALSE
    ),
    IFERROR(VLOOKUP($C12, '[1]Dettaglio pacchetti'!$A$1:$I$530, 9, FALSE), "")
)</f>
        <v>ear</v>
      </c>
      <c r="N12" s="7"/>
      <c r="O12" s="6" t="s">
        <v>15</v>
      </c>
      <c r="P12" s="6" t="s">
        <v>15</v>
      </c>
      <c r="AA12" t="str" cm="1">
        <f t="array" ref="AA12">IFERROR(VLOOKUP(INDEX('[1]Dettaglio pacchetti'!$AB$1:$AB$530, _xlfn.AGGREGATE(15, 6, (ROW($1:$345))/(ISNUMBER(SEARCH('[1]Dettaglio pacchetti'!$AB$1:$AB$530, $C12))), 1)) &amp; "*", '[1]Dettaglio pacchetti'!$A$1:$N$530, 13, FALSE) &amp; "", "")</f>
        <v>https://dev.azure.com/realeitesorg/it.grma.claims/_build?definitionId=1938</v>
      </c>
      <c r="AB12" t="str" cm="1">
        <f t="array" ref="AB12">IF(ISNUMBER(SEARCH("dev.azure.com", AA12)), IFERROR(VLOOKUP(INDEX('[1]Dettaglio pacchetti'!$AB$1:$AB$530, _xlfn.AGGREGATE(15, 6, (ROW($1:$345))/(ISNUMBER(SEARCH('[1]Dettaglio pacchetti'!$AB$1:$AB$530, $C12))), 1)) &amp; "*", '[1]Dettaglio pacchetti'!$A$1:$N$530, 1, FALSE) &amp; "", ""), "")</f>
        <v>card2017_EVOLUTIVA</v>
      </c>
      <c r="AC12" t="str" cm="1">
        <f t="array" ref="AC12">IFERROR(
    VLOOKUP(
        INDEX('[1]Dettaglio pacchetti'!$AB$1:$AB$530, _xlfn.AGGREGATE(15,6,ROW($1:$345)/(ISNUMBER(SEARCH('[1]Dettaglio pacchetti'!$AB$1:$AB$530,$C12))),1)) &amp; "*",
        '[1]Dettaglio pacchetti'!$A$1:$I$530,
        7,
        FALSE
    ),
    IFERROR(VLOOKUP($C12, '[1]Dettaglio pacchetti'!$A$1:$I$530, 7, FALSE), "")
)</f>
        <v>it.grma.claims</v>
      </c>
      <c r="AD12" t="str" cm="1">
        <f t="array" ref="AD12">IFERROR(
    VLOOKUP(
        INDEX('[1]Dettaglio pacchetti'!$AB$1:$AB$530, _xlfn.AGGREGATE(15,6,ROW($1:$345)/(ISNUMBER(SEARCH('[1]Dettaglio pacchetti'!$AB$1:$AB$530,$C12))),1)) &amp; "*",
        '[1]Dettaglio pacchetti'!$A$1:$I$530,
        6,
        FALSE
    ),
    IFERROR(VLOOKUP($C12, '[1]Dettaglio pacchetti'!$A$1:$I$530, 6, FALSE), "")
)</f>
        <v>Azure Devops</v>
      </c>
      <c r="AE12"/>
    </row>
    <row r="13" spans="1:31" s="4" customFormat="1" ht="14.85" customHeight="1" x14ac:dyDescent="0.3">
      <c r="B13" s="17"/>
      <c r="C13" s="62" t="s">
        <v>367</v>
      </c>
      <c r="D13" s="14" t="str" cm="1">
        <f t="array" ref="D13">IFERROR(
    _xlfn.LET(
        _xlpm.risultato,
        IFERROR(
            _xlfn.XLOOKUP(TRIM(UPPER(G13)),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pacchetti'!$E$1:$E$530))=TRIM(UPPER(G13)),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>C20260814_0040</v>
      </c>
      <c r="E13" s="14" t="str" cm="1">
        <f t="array" ref="E13">IF(TRIM($B13)="SG-ANAGRAFE", "Bugni Batte",
    IF(TRIM($B13)="DW01A", "Cauda",
        IFERROR(
            VLOOKUP(
                INDEX('[1]Dettaglio pacchetti'!$AB$1:$AB$530,
                    _xlfn.AGGREGATE(15, 6,
                        (ROW($1:$345))/(ISNUMBER(SEARCH('[1]Dettaglio pacchetti'!$AB$1:$AB$530, $C13))),
                        1)
                ) &amp; "*",
                '[1]Dettaglio pacchetti'!$A$1:$I$530,
                3,
                FALSE
            ),
            IFERROR(VLOOKUP($C13, '[1]Dettaglio pacchetti'!$A$1:$I$530, 3, FALSE), "")
        )
    )
)</f>
        <v>Treno Sinistri</v>
      </c>
      <c r="F13" s="14" t="str" cm="1">
        <f t="array" ref="F13">IF(TRIM($B13)="DW01A", "Rilascio  EDW Estrattori",
    IFERROR(
        VLOOKUP(
            INDEX('[1]Dettaglio pacchetti'!$AB$1:$AB$530,
                _xlfn.AGGREGATE(15, 6,
                    (ROW($1:$345))/(ISNUMBER(SEARCH('[1]Dettaglio pacchetti'!$AB$1:$AB$530, $C13))),
                    1)
            ) &amp; "*",
            '[1]Dettaglio pacchetti'!$A$1:$I$530,
            4,
            FALSE
        ),
        IFERROR(VLOOKUP($C13, '[1]Dettaglio pacchetti'!$A$1:$I$530, 4, FALSE), "")
    )
)</f>
        <v>Rilascio Sinistri Web - CARD2017</v>
      </c>
      <c r="G13" s="14" t="str" cm="1">
        <f t="array" ref="G13">IF(TRIM($B13)="DW01A", "EDW - Estrattori",
    IF(TRIM($B13)="SG-ANAGRAFE", "SIGEA Anagrafe",
        IFERROR(
            VLOOKUP(
                INDEX('[1]Dettaglio pacchetti'!$AB$1:$AB$530,
                    _xlfn.AGGREGATE(15, 6,
                        (ROW($1:$345))/(ISNUMBER(SEARCH('[1]Dettaglio pacchetti'!$AB$1:$AB$530, $C13))),
                        1)
                ) &amp; "*",
                '[1]Dettaglio pacchetti'!$A$1:$I$530,
                5,
                FALSE
            ),
            IFERROR(VLOOKUP($C13, '[1]Dettaglio pacchetti'!$A$1:$I$530, 5, FALSE), "")
        )
    )
)</f>
        <v>SinistriWeb - Batch</v>
      </c>
      <c r="H13" s="14"/>
      <c r="I13" s="7" t="str">
        <f t="shared" si="0"/>
        <v>card2017_EVOLUTIVA</v>
      </c>
      <c r="J13" t="str">
        <f t="shared" si="1"/>
        <v>it.grma.claims</v>
      </c>
      <c r="K13" t="str">
        <f t="shared" si="2"/>
        <v/>
      </c>
      <c r="L13" s="14" t="str" cm="1">
        <f t="array" ref="L13">IFERROR(
    VLOOKUP(
        INDEX('[1]Dettaglio pacchetti'!$AB$1:$AB$530,
            _xlfn.AGGREGATE(15, 6,
                ROW($1:$345)/(ISNUMBER(SEARCH('[1]Dettaglio pacchetti'!$AB$1:$AB$530, $C13))),
                1)
        ) &amp; "*",
        '[1]Dettaglio pacchetti'!$A$1:$I$530,
        8,
        FALSE
    ),
    IFERROR(VLOOKUP($C13, '[1]Dettaglio pacchetti'!$A$1:$I$530, 8, FALSE), "")
)</f>
        <v>23.00</v>
      </c>
      <c r="M13" s="14" t="str" cm="1">
        <f t="array" ref="M13">IFERROR(
    VLOOKUP(
        INDEX('[1]Dettaglio pacchetti'!$AB$1:$AB$530,
            _xlfn.AGGREGATE(15, 6,
                ROW($1:$345)/(ISNUMBER(SEARCH('[1]Dettaglio pacchetti'!$AB$1:$AB$530, $C13))),
                1)
        ) &amp; "*",
        '[1]Dettaglio pacchetti'!$A$1:$I$530,
        9,
        FALSE
    ),
    IFERROR(VLOOKUP($C13, '[1]Dettaglio pacchetti'!$A$1:$I$530, 9, FALSE), "")
)</f>
        <v>ear</v>
      </c>
      <c r="N13" s="7"/>
      <c r="O13" s="6" t="s">
        <v>15</v>
      </c>
      <c r="P13" s="6" t="s">
        <v>15</v>
      </c>
      <c r="AA13" t="str" cm="1">
        <f t="array" ref="AA13">IFERROR(VLOOKUP(INDEX('[1]Dettaglio pacchetti'!$AB$1:$AB$530, _xlfn.AGGREGATE(15, 6, (ROW($1:$345))/(ISNUMBER(SEARCH('[1]Dettaglio pacchetti'!$AB$1:$AB$530, $C13))), 1)) &amp; "*", '[1]Dettaglio pacchetti'!$A$1:$N$530, 13, FALSE) &amp; "", "")</f>
        <v>https://dev.azure.com/realeitesorg/it.grma.claims/_build?definitionId=1938</v>
      </c>
      <c r="AB13" t="str" cm="1">
        <f t="array" ref="AB13">IF(ISNUMBER(SEARCH("dev.azure.com", AA13)), IFERROR(VLOOKUP(INDEX('[1]Dettaglio pacchetti'!$AB$1:$AB$530, _xlfn.AGGREGATE(15, 6, (ROW($1:$345))/(ISNUMBER(SEARCH('[1]Dettaglio pacchetti'!$AB$1:$AB$530, $C13))), 1)) &amp; "*", '[1]Dettaglio pacchetti'!$A$1:$N$530, 1, FALSE) &amp; "", ""), "")</f>
        <v>card2017_EVOLUTIVA</v>
      </c>
      <c r="AC13" t="str" cm="1">
        <f t="array" ref="AC13">IFERROR(
    VLOOKUP(
        INDEX('[1]Dettaglio pacchetti'!$AB$1:$AB$530, _xlfn.AGGREGATE(15,6,ROW($1:$345)/(ISNUMBER(SEARCH('[1]Dettaglio pacchetti'!$AB$1:$AB$530,$C13))),1)) &amp; "*",
        '[1]Dettaglio pacchetti'!$A$1:$I$530,
        7,
        FALSE
    ),
    IFERROR(VLOOKUP($C13, '[1]Dettaglio pacchetti'!$A$1:$I$530, 7, FALSE), "")
)</f>
        <v>it.grma.claims</v>
      </c>
      <c r="AD13" t="str" cm="1">
        <f t="array" ref="AD13">IFERROR(
    VLOOKUP(
        INDEX('[1]Dettaglio pacchetti'!$AB$1:$AB$530, _xlfn.AGGREGATE(15,6,ROW($1:$345)/(ISNUMBER(SEARCH('[1]Dettaglio pacchetti'!$AB$1:$AB$530,$C13))),1)) &amp; "*",
        '[1]Dettaglio pacchetti'!$A$1:$I$530,
        6,
        FALSE
    ),
    IFERROR(VLOOKUP($C13, '[1]Dettaglio pacchetti'!$A$1:$I$530, 6, FALSE), "")
)</f>
        <v>Azure Devops</v>
      </c>
      <c r="AE13"/>
    </row>
    <row r="14" spans="1:31" s="4" customFormat="1" ht="14.85" customHeight="1" x14ac:dyDescent="0.3">
      <c r="B14" s="17"/>
      <c r="C14" s="62" t="s">
        <v>354</v>
      </c>
      <c r="D14" s="14" t="str" cm="1">
        <f t="array" ref="D14">IFERROR(
    _xlfn.LET(
        _xlpm.risultato,
        IFERROR(
            _xlfn.XLOOKUP(TRIM(UPPER(G14)),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pacchetti'!$E$1:$E$530))=TRIM(UPPER(G14)),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>C20260824_0044</v>
      </c>
      <c r="E14" s="14" t="str" cm="1">
        <f t="array" ref="E14">IF(TRIM($B14)="SG-ANAGRAFE", "Bugni Batte",
    IF(TRIM($B14)="DW01A", "Cauda",
        IFERROR(
            VLOOKUP(
                INDEX('[1]Dettaglio pacchetti'!$AB$1:$AB$530,
                    _xlfn.AGGREGATE(15, 6,
                        (ROW($1:$345))/(ISNUMBER(SEARCH('[1]Dettaglio pacchetti'!$AB$1:$AB$530, $C14))),
                        1)
                ) &amp; "*",
                '[1]Dettaglio pacchetti'!$A$1:$I$530,
                3,
                FALSE
            ),
            IFERROR(VLOOKUP($C14, '[1]Dettaglio pacchetti'!$A$1:$I$530, 3, FALSE), "")
        )
    )
)</f>
        <v>Team Digital-Chetta</v>
      </c>
      <c r="F14" s="14" t="str" cm="1">
        <f t="array" ref="F14">IF(TRIM($B14)="DW01A", "Rilascio  EDW Estrattori",
    IFERROR(
        VLOOKUP(
            INDEX('[1]Dettaglio pacchetti'!$AB$1:$AB$530,
                _xlfn.AGGREGATE(15, 6,
                    (ROW($1:$345))/(ISNUMBER(SEARCH('[1]Dettaglio pacchetti'!$AB$1:$AB$530, $C14))),
                    1)
            ) &amp; "*",
            '[1]Dettaglio pacchetti'!$A$1:$I$530,
            4,
            FALSE
        ),
        IFERROR(VLOOKUP($C14, '[1]Dettaglio pacchetti'!$A$1:$I$530, 4, FALSE), "")
    )
)</f>
        <v>Rilascio pipeline middelwarenew</v>
      </c>
      <c r="G14" s="14" t="str" cm="1">
        <f t="array" ref="G14">IF(TRIM($B14)="DW01A", "EDW - Estrattori",
    IF(TRIM($B14)="SG-ANAGRAFE", "SIGEA Anagrafe",
        IFERROR(
            VLOOKUP(
                INDEX('[1]Dettaglio pacchetti'!$AB$1:$AB$530,
                    _xlfn.AGGREGATE(15, 6,
                        (ROW($1:$345))/(ISNUMBER(SEARCH('[1]Dettaglio pacchetti'!$AB$1:$AB$530, $C14))),
                        1)
                ) &amp; "*",
                '[1]Dettaglio pacchetti'!$A$1:$I$530,
                5,
                FALSE
            ),
            IFERROR(VLOOKUP($C14, '[1]Dettaglio pacchetti'!$A$1:$I$530, 5, FALSE), "")
        )
    )
)</f>
        <v>Siti Istituzionali</v>
      </c>
      <c r="H14" s="14"/>
      <c r="I14" s="7" t="str">
        <f t="shared" si="0"/>
        <v>it.grma.web.pni2cloud.middlewarenew</v>
      </c>
      <c r="J14" t="str">
        <f t="shared" si="1"/>
        <v>it.grma.web</v>
      </c>
      <c r="K14" t="str">
        <f t="shared" si="2"/>
        <v/>
      </c>
      <c r="L14" s="14" t="str" cm="1">
        <f t="array" ref="L14">IFERROR(
    VLOOKUP(
        INDEX('[1]Dettaglio pacchetti'!$AB$1:$AB$530,
            _xlfn.AGGREGATE(15, 6,
                ROW($1:$345)/(ISNUMBER(SEARCH('[1]Dettaglio pacchetti'!$AB$1:$AB$530, $C14))),
                1)
        ) &amp; "*",
        '[1]Dettaglio pacchetti'!$A$1:$I$530,
        8,
        FALSE
    ),
    IFERROR(VLOOKUP($C14, '[1]Dettaglio pacchetti'!$A$1:$I$530, 8, FALSE), "")
)</f>
        <v>23.00</v>
      </c>
      <c r="M14" s="14" t="str" cm="1">
        <f t="array" ref="M14">IFERROR(
    VLOOKUP(
        INDEX('[1]Dettaglio pacchetti'!$AB$1:$AB$530,
            _xlfn.AGGREGATE(15, 6,
                ROW($1:$345)/(ISNUMBER(SEARCH('[1]Dettaglio pacchetti'!$AB$1:$AB$530, $C14))),
                1)
        ) &amp; "*",
        '[1]Dettaglio pacchetti'!$A$1:$I$530,
        9,
        FALSE
    ),
    IFERROR(VLOOKUP($C14, '[1]Dettaglio pacchetti'!$A$1:$I$530, 9, FALSE), "")
)</f>
        <v>ubuntu</v>
      </c>
      <c r="N14" s="7"/>
      <c r="O14" s="6" t="s">
        <v>15</v>
      </c>
      <c r="P14" s="6" t="s">
        <v>15</v>
      </c>
      <c r="AA14" t="str" cm="1">
        <f t="array" ref="AA14">IFERROR(VLOOKUP(INDEX('[1]Dettaglio pacchetti'!$AB$1:$AB$530, _xlfn.AGGREGATE(15, 6, (ROW($1:$345))/(ISNUMBER(SEARCH('[1]Dettaglio pacchetti'!$AB$1:$AB$530, $C14))), 1)) &amp; "*", '[1]Dettaglio pacchetti'!$A$1:$N$530, 13, FALSE) &amp; "", "")</f>
        <v>https://dev.azure.com/realeitesorg/it.grma.web/_build?definitionId=795</v>
      </c>
      <c r="AB14" t="str" cm="1">
        <f t="array" ref="AB14">IF(ISNUMBER(SEARCH("dev.azure.com", AA14)), IFERROR(VLOOKUP(INDEX('[1]Dettaglio pacchetti'!$AB$1:$AB$530, _xlfn.AGGREGATE(15, 6, (ROW($1:$345))/(ISNUMBER(SEARCH('[1]Dettaglio pacchetti'!$AB$1:$AB$530, $C14))), 1)) &amp; "*", '[1]Dettaglio pacchetti'!$A$1:$N$530, 1, FALSE) &amp; "", ""), "")</f>
        <v>it.grma.web.pni2cloud.middlewarenew</v>
      </c>
      <c r="AC14" t="str" cm="1">
        <f t="array" ref="AC14">IFERROR(
    VLOOKUP(
        INDEX('[1]Dettaglio pacchetti'!$AB$1:$AB$530, _xlfn.AGGREGATE(15,6,ROW($1:$345)/(ISNUMBER(SEARCH('[1]Dettaglio pacchetti'!$AB$1:$AB$530,$C14))),1)) &amp; "*",
        '[1]Dettaglio pacchetti'!$A$1:$I$530,
        7,
        FALSE
    ),
    IFERROR(VLOOKUP($C14, '[1]Dettaglio pacchetti'!$A$1:$I$530, 7, FALSE), "")
)</f>
        <v>it.grma.web</v>
      </c>
      <c r="AD14" t="str" cm="1">
        <f t="array" ref="AD14">IFERROR(
    VLOOKUP(
        INDEX('[1]Dettaglio pacchetti'!$AB$1:$AB$530, _xlfn.AGGREGATE(15,6,ROW($1:$345)/(ISNUMBER(SEARCH('[1]Dettaglio pacchetti'!$AB$1:$AB$530,$C14))),1)) &amp; "*",
        '[1]Dettaglio pacchetti'!$A$1:$I$530,
        6,
        FALSE
    ),
    IFERROR(VLOOKUP($C14, '[1]Dettaglio pacchetti'!$A$1:$I$530, 6, FALSE), "")
)</f>
        <v>Azure Devops</v>
      </c>
      <c r="AE14"/>
    </row>
    <row r="15" spans="1:31" s="4" customFormat="1" ht="14.85" customHeight="1" x14ac:dyDescent="0.3">
      <c r="B15" s="17"/>
      <c r="C15" s="62" t="s">
        <v>368</v>
      </c>
      <c r="D15" s="14" t="str" cm="1">
        <f t="array" ref="D15">IFERROR(
    _xlfn.LET(
        _xlpm.risultato,
        IFERROR(
            _xlfn.XLOOKUP(TRIM(UPPER(G15)),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pacchetti'!$E$1:$E$530))=TRIM(UPPER(G15)),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>C20260806_0083</v>
      </c>
      <c r="E15" s="14" t="str" cm="1">
        <f t="array" ref="E15">IF(TRIM($B15)="SG-ANAGRAFE", "Bugni Batte",
    IF(TRIM($B15)="DW01A", "Cauda",
        IFERROR(
            VLOOKUP(
                INDEX('[1]Dettaglio pacchetti'!$AB$1:$AB$530,
                    _xlfn.AGGREGATE(15, 6,
                        (ROW($1:$345))/(ISNUMBER(SEARCH('[1]Dettaglio pacchetti'!$AB$1:$AB$530, $C15))),
                        1)
                ) &amp; "*",
                '[1]Dettaglio pacchetti'!$A$1:$I$530,
                3,
                FALSE
            ),
            IFERROR(VLOOKUP($C15, '[1]Dettaglio pacchetti'!$A$1:$I$530, 3, FALSE), "")
        )
    )
)</f>
        <v>Martino</v>
      </c>
      <c r="F15" s="14" t="str" cm="1">
        <f t="array" ref="F15">IF(TRIM($B15)="DW01A", "Rilascio  EDW Estrattori",
    IFERROR(
        VLOOKUP(
            INDEX('[1]Dettaglio pacchetti'!$AB$1:$AB$530,
                _xlfn.AGGREGATE(15, 6,
                    (ROW($1:$345))/(ISNUMBER(SEARCH('[1]Dettaglio pacchetti'!$AB$1:$AB$530, $C15))),
                    1)
            ) &amp; "*",
            '[1]Dettaglio pacchetti'!$A$1:$I$530,
            4,
            FALSE
        ),
        IFERROR(VLOOKUP($C15, '[1]Dettaglio pacchetti'!$A$1:$I$530, 4, FALSE), "")
    )
)</f>
        <v>Evoluzione Sistemi Integrazione APISinistri</v>
      </c>
      <c r="G15" s="14" t="str" cm="1">
        <f t="array" ref="G15">IF(TRIM($B15)="DW01A", "EDW - Estrattori",
    IF(TRIM($B15)="SG-ANAGRAFE", "SIGEA Anagrafe",
        IFERROR(
            VLOOKUP(
                INDEX('[1]Dettaglio pacchetti'!$AB$1:$AB$530,
                    _xlfn.AGGREGATE(15, 6,
                        (ROW($1:$345))/(ISNUMBER(SEARCH('[1]Dettaglio pacchetti'!$AB$1:$AB$530, $C15))),
                        1)
                ) &amp; "*",
                '[1]Dettaglio pacchetti'!$A$1:$I$530,
                5,
                FALSE
            ),
            IFERROR(VLOOKUP($C15, '[1]Dettaglio pacchetti'!$A$1:$I$530, 5, FALSE), "")
        )
    )
)</f>
        <v>Integrazione</v>
      </c>
      <c r="H15" s="14"/>
      <c r="I15" s="7" t="s">
        <v>382</v>
      </c>
      <c r="J15" t="str">
        <f t="shared" si="1"/>
        <v>it.integration</v>
      </c>
      <c r="K15" t="str">
        <f t="shared" si="2"/>
        <v/>
      </c>
      <c r="L15" s="14" t="str" cm="1">
        <f t="array" ref="L15">IFERROR(
    VLOOKUP(
        INDEX('[1]Dettaglio pacchetti'!$AB$1:$AB$530,
            _xlfn.AGGREGATE(15, 6,
                ROW($1:$345)/(ISNUMBER(SEARCH('[1]Dettaglio pacchetti'!$AB$1:$AB$530, $C15))),
                1)
        ) &amp; "*",
        '[1]Dettaglio pacchetti'!$A$1:$I$530,
        8,
        FALSE
    ),
    IFERROR(VLOOKUP($C15, '[1]Dettaglio pacchetti'!$A$1:$I$530, 8, FALSE), "")
)</f>
        <v>23.00</v>
      </c>
      <c r="M15" s="14" t="str" cm="1">
        <f t="array" ref="M15">IFERROR(
    VLOOKUP(
        INDEX('[1]Dettaglio pacchetti'!$AB$1:$AB$530,
            _xlfn.AGGREGATE(15, 6,
                ROW($1:$345)/(ISNUMBER(SEARCH('[1]Dettaglio pacchetti'!$AB$1:$AB$530, $C15))),
                1)
        ) &amp; "*",
        '[1]Dettaglio pacchetti'!$A$1:$I$530,
        9,
        FALSE
    ),
    IFERROR(VLOOKUP($C15, '[1]Dettaglio pacchetti'!$A$1:$I$530, 9, FALSE), "")
)</f>
        <v>aks</v>
      </c>
      <c r="N15" s="7"/>
      <c r="O15" s="6" t="s">
        <v>15</v>
      </c>
      <c r="P15" s="6" t="s">
        <v>15</v>
      </c>
      <c r="AA15" t="str" cm="1">
        <f t="array" ref="AA15">IFERROR(VLOOKUP(INDEX('[1]Dettaglio pacchetti'!$AB$1:$AB$530, _xlfn.AGGREGATE(15, 6, (ROW($1:$345))/(ISNUMBER(SEARCH('[1]Dettaglio pacchetti'!$AB$1:$AB$530, $C15))), 1)) &amp; "*", '[1]Dettaglio pacchetti'!$A$1:$N$530, 13, FALSE) &amp; "", "")</f>
        <v/>
      </c>
      <c r="AB15" t="str" cm="1">
        <f t="array" ref="AB15">IF(ISNUMBER(SEARCH("dev.azure.com", AA15)), IFERROR(VLOOKUP(INDEX('[1]Dettaglio pacchetti'!$AB$1:$AB$530, _xlfn.AGGREGATE(15, 6, (ROW($1:$345))/(ISNUMBER(SEARCH('[1]Dettaglio pacchetti'!$AB$1:$AB$530, $C15))), 1)) &amp; "*", '[1]Dettaglio pacchetti'!$A$1:$N$530, 1, FALSE) &amp; "", ""), "")</f>
        <v/>
      </c>
      <c r="AC15" t="str" cm="1">
        <f t="array" ref="AC15">IFERROR(
    VLOOKUP(
        INDEX('[1]Dettaglio pacchetti'!$AB$1:$AB$530, _xlfn.AGGREGATE(15,6,ROW($1:$345)/(ISNUMBER(SEARCH('[1]Dettaglio pacchetti'!$AB$1:$AB$530,$C15))),1)) &amp; "*",
        '[1]Dettaglio pacchetti'!$A$1:$I$530,
        7,
        FALSE
    ),
    IFERROR(VLOOKUP($C15, '[1]Dettaglio pacchetti'!$A$1:$I$530, 7, FALSE), "")
)</f>
        <v>it.integration</v>
      </c>
      <c r="AD15" t="str" cm="1">
        <f t="array" ref="AD15">IFERROR(
    VLOOKUP(
        INDEX('[1]Dettaglio pacchetti'!$AB$1:$AB$530, _xlfn.AGGREGATE(15,6,ROW($1:$345)/(ISNUMBER(SEARCH('[1]Dettaglio pacchetti'!$AB$1:$AB$530,$C15))),1)) &amp; "*",
        '[1]Dettaglio pacchetti'!$A$1:$I$530,
        6,
        FALSE
    ),
    IFERROR(VLOOKUP($C15, '[1]Dettaglio pacchetti'!$A$1:$I$530, 6, FALSE), "")
)</f>
        <v>Azure Devops</v>
      </c>
      <c r="AE15"/>
    </row>
    <row r="16" spans="1:31" s="4" customFormat="1" ht="14.85" customHeight="1" x14ac:dyDescent="0.3">
      <c r="B16" s="17"/>
      <c r="C16" s="62" t="s">
        <v>369</v>
      </c>
      <c r="D16" s="14" t="str" cm="1">
        <f t="array" ref="D16">IFERROR(
    _xlfn.LET(
        _xlpm.risultato,
        IFERROR(
            _xlfn.XLOOKUP(TRIM(UPPER(G16)),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pacchetti'!$E$1:$E$530))=TRIM(UPPER(G16)),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>C20260806_0083</v>
      </c>
      <c r="E16" s="14" t="str" cm="1">
        <f t="array" ref="E16">IF(TRIM($B16)="SG-ANAGRAFE", "Bugni Batte",
    IF(TRIM($B16)="DW01A", "Cauda",
        IFERROR(
            VLOOKUP(
                INDEX('[1]Dettaglio pacchetti'!$AB$1:$AB$530,
                    _xlfn.AGGREGATE(15, 6,
                        (ROW($1:$345))/(ISNUMBER(SEARCH('[1]Dettaglio pacchetti'!$AB$1:$AB$530, $C16))),
                        1)
                ) &amp; "*",
                '[1]Dettaglio pacchetti'!$A$1:$I$530,
                3,
                FALSE
            ),
            IFERROR(VLOOKUP($C16, '[1]Dettaglio pacchetti'!$A$1:$I$530, 3, FALSE), "")
        )
    )
)</f>
        <v>Martino</v>
      </c>
      <c r="F16" s="14" t="str" cm="1">
        <f t="array" ref="F16">IF(TRIM($B16)="DW01A", "Rilascio  EDW Estrattori",
    IFERROR(
        VLOOKUP(
            INDEX('[1]Dettaglio pacchetti'!$AB$1:$AB$530,
                _xlfn.AGGREGATE(15, 6,
                    (ROW($1:$345))/(ISNUMBER(SEARCH('[1]Dettaglio pacchetti'!$AB$1:$AB$530, $C16))),
                    1)
            ) &amp; "*",
            '[1]Dettaglio pacchetti'!$A$1:$I$530,
            4,
            FALSE
        ),
        IFERROR(VLOOKUP($C16, '[1]Dettaglio pacchetti'!$A$1:$I$530, 4, FALSE), "")
    )
)</f>
        <v>Evoluzione Sistemi Integrazione JCAPS wrapper</v>
      </c>
      <c r="G16" s="14" t="str" cm="1">
        <f t="array" ref="G16">IF(TRIM($B16)="DW01A", "EDW - Estrattori",
    IF(TRIM($B16)="SG-ANAGRAFE", "SIGEA Anagrafe",
        IFERROR(
            VLOOKUP(
                INDEX('[1]Dettaglio pacchetti'!$AB$1:$AB$530,
                    _xlfn.AGGREGATE(15, 6,
                        (ROW($1:$345))/(ISNUMBER(SEARCH('[1]Dettaglio pacchetti'!$AB$1:$AB$530, $C16))),
                        1)
                ) &amp; "*",
                '[1]Dettaglio pacchetti'!$A$1:$I$530,
                5,
                FALSE
            ),
            IFERROR(VLOOKUP($C16, '[1]Dettaglio pacchetti'!$A$1:$I$530, 5, FALSE), "")
        )
    )
)</f>
        <v>Integrazione</v>
      </c>
      <c r="H16" s="14"/>
      <c r="I16" s="7" t="s">
        <v>381</v>
      </c>
      <c r="J16" t="str">
        <f t="shared" si="1"/>
        <v>it.integration</v>
      </c>
      <c r="K16" t="str">
        <f t="shared" si="2"/>
        <v/>
      </c>
      <c r="L16" s="14" t="str" cm="1">
        <f t="array" ref="L16">IFERROR(
    VLOOKUP(
        INDEX('[1]Dettaglio pacchetti'!$AB$1:$AB$530,
            _xlfn.AGGREGATE(15, 6,
                ROW($1:$345)/(ISNUMBER(SEARCH('[1]Dettaglio pacchetti'!$AB$1:$AB$530, $C16))),
                1)
        ) &amp; "*",
        '[1]Dettaglio pacchetti'!$A$1:$I$530,
        8,
        FALSE
    ),
    IFERROR(VLOOKUP($C16, '[1]Dettaglio pacchetti'!$A$1:$I$530, 8, FALSE), "")
)</f>
        <v>23.00</v>
      </c>
      <c r="M16" s="14" t="str" cm="1">
        <f t="array" ref="M16">IFERROR(
    VLOOKUP(
        INDEX('[1]Dettaglio pacchetti'!$AB$1:$AB$530,
            _xlfn.AGGREGATE(15, 6,
                ROW($1:$345)/(ISNUMBER(SEARCH('[1]Dettaglio pacchetti'!$AB$1:$AB$530, $C16))),
                1)
        ) &amp; "*",
        '[1]Dettaglio pacchetti'!$A$1:$I$530,
        9,
        FALSE
    ),
    IFERROR(VLOOKUP($C16, '[1]Dettaglio pacchetti'!$A$1:$I$530, 9, FALSE), "")
)</f>
        <v>aks</v>
      </c>
      <c r="N16" s="7"/>
      <c r="O16" s="6" t="s">
        <v>15</v>
      </c>
      <c r="P16" s="6" t="s">
        <v>15</v>
      </c>
      <c r="AA16" t="str" cm="1">
        <f t="array" ref="AA16">IFERROR(VLOOKUP(INDEX('[1]Dettaglio pacchetti'!$AB$1:$AB$530, _xlfn.AGGREGATE(15, 6, (ROW($1:$345))/(ISNUMBER(SEARCH('[1]Dettaglio pacchetti'!$AB$1:$AB$530, $C16))), 1)) &amp; "*", '[1]Dettaglio pacchetti'!$A$1:$N$530, 13, FALSE) &amp; "", "")</f>
        <v/>
      </c>
      <c r="AB16" t="str" cm="1">
        <f t="array" ref="AB16">IF(ISNUMBER(SEARCH("dev.azure.com", AA16)), IFERROR(VLOOKUP(INDEX('[1]Dettaglio pacchetti'!$AB$1:$AB$530, _xlfn.AGGREGATE(15, 6, (ROW($1:$345))/(ISNUMBER(SEARCH('[1]Dettaglio pacchetti'!$AB$1:$AB$530, $C16))), 1)) &amp; "*", '[1]Dettaglio pacchetti'!$A$1:$N$530, 1, FALSE) &amp; "", ""), "")</f>
        <v/>
      </c>
      <c r="AC16" t="str" cm="1">
        <f t="array" ref="AC16">IFERROR(
    VLOOKUP(
        INDEX('[1]Dettaglio pacchetti'!$AB$1:$AB$530, _xlfn.AGGREGATE(15,6,ROW($1:$345)/(ISNUMBER(SEARCH('[1]Dettaglio pacchetti'!$AB$1:$AB$530,$C16))),1)) &amp; "*",
        '[1]Dettaglio pacchetti'!$A$1:$I$530,
        7,
        FALSE
    ),
    IFERROR(VLOOKUP($C16, '[1]Dettaglio pacchetti'!$A$1:$I$530, 7, FALSE), "")
)</f>
        <v>it.integration</v>
      </c>
      <c r="AD16" t="str" cm="1">
        <f t="array" ref="AD16">IFERROR(
    VLOOKUP(
        INDEX('[1]Dettaglio pacchetti'!$AB$1:$AB$530, _xlfn.AGGREGATE(15,6,ROW($1:$345)/(ISNUMBER(SEARCH('[1]Dettaglio pacchetti'!$AB$1:$AB$530,$C16))),1)) &amp; "*",
        '[1]Dettaglio pacchetti'!$A$1:$I$530,
        6,
        FALSE
    ),
    IFERROR(VLOOKUP($C16, '[1]Dettaglio pacchetti'!$A$1:$I$530, 6, FALSE), "")
)</f>
        <v>Azure Devops</v>
      </c>
      <c r="AE16"/>
    </row>
    <row r="17" spans="2:31" s="4" customFormat="1" ht="14.85" customHeight="1" x14ac:dyDescent="0.3">
      <c r="B17" s="17"/>
      <c r="C17" s="62" t="s">
        <v>370</v>
      </c>
      <c r="D17" s="14" t="str" cm="1">
        <f t="array" ref="D17">IFERROR(
    _xlfn.LET(
        _xlpm.risultato,
        IFERROR(
            _xlfn.XLOOKUP(TRIM(UPPER(G17)),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pacchetti'!$E$1:$E$530))=TRIM(UPPER(G17)),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>C20260821_0045</v>
      </c>
      <c r="E17" s="14" t="str" cm="1">
        <f t="array" ref="E17">IF(TRIM($B17)="SG-ANAGRAFE", "Bugni Batte",
    IF(TRIM($B17)="DW01A", "Cauda",
        IFERROR(
            VLOOKUP(
                INDEX('[1]Dettaglio pacchetti'!$AB$1:$AB$530,
                    _xlfn.AGGREGATE(15, 6,
                        (ROW($1:$345))/(ISNUMBER(SEARCH('[1]Dettaglio pacchetti'!$AB$1:$AB$530, $C17))),
                        1)
                ) &amp; "*",
                '[1]Dettaglio pacchetti'!$A$1:$I$530,
                3,
                FALSE
            ),
            IFERROR(VLOOKUP($C17, '[1]Dettaglio pacchetti'!$A$1:$I$530, 3, FALSE), "")
        )
    )
)</f>
        <v>Bugni Batte</v>
      </c>
      <c r="F17" s="14" t="str" cm="1">
        <f t="array" ref="F17">IF(TRIM($B17)="DW01A", "Rilascio  EDW Estrattori",
    IFERROR(
        VLOOKUP(
            INDEX('[1]Dettaglio pacchetti'!$AB$1:$AB$530,
                _xlfn.AGGREGATE(15, 6,
                    (ROW($1:$345))/(ISNUMBER(SEARCH('[1]Dettaglio pacchetti'!$AB$1:$AB$530, $C17))),
                    1)
            ) &amp; "*",
            '[1]Dettaglio pacchetti'!$A$1:$I$530,
            4,
            FALSE
        ),
        IFERROR(VLOOKUP($C17, '[1]Dettaglio pacchetti'!$A$1:$I$530, 4, FALSE), "")
    )
)</f>
        <v>SMIANAG1 - anagrafeweb.ApiAnagrafeBE</v>
      </c>
      <c r="G17" s="14" t="str" cm="1">
        <f t="array" ref="G17">IF(TRIM($B17)="DW01A", "EDW - Estrattori",
    IF(TRIM($B17)="SG-ANAGRAFE", "SIGEA Anagrafe",
        IFERROR(
            VLOOKUP(
                INDEX('[1]Dettaglio pacchetti'!$AB$1:$AB$530,
                    _xlfn.AGGREGATE(15, 6,
                        (ROW($1:$345))/(ISNUMBER(SEARCH('[1]Dettaglio pacchetti'!$AB$1:$AB$530, $C17))),
                        1)
                ) &amp; "*",
                '[1]Dettaglio pacchetti'!$A$1:$I$530,
                5,
                FALSE
            ),
            IFERROR(VLOOKUP($C17, '[1]Dettaglio pacchetti'!$A$1:$I$530, 5, FALSE), "")
        )
    )
)</f>
        <v>AnagrafeWeb</v>
      </c>
      <c r="H17" s="14"/>
      <c r="I17" s="7" t="str">
        <f t="shared" si="0"/>
        <v>ApiAnagrafeBE_EVOLUTIVA</v>
      </c>
      <c r="J17" t="str">
        <f t="shared" si="1"/>
        <v>it.grma.anagrafeweb</v>
      </c>
      <c r="K17" t="str">
        <f t="shared" si="2"/>
        <v/>
      </c>
      <c r="L17" s="14" t="str" cm="1">
        <f t="array" ref="L17">IFERROR(
    VLOOKUP(
        INDEX('[1]Dettaglio pacchetti'!$AB$1:$AB$530,
            _xlfn.AGGREGATE(15, 6,
                ROW($1:$345)/(ISNUMBER(SEARCH('[1]Dettaglio pacchetti'!$AB$1:$AB$530, $C17))),
                1)
        ) &amp; "*",
        '[1]Dettaglio pacchetti'!$A$1:$I$530,
        8,
        FALSE
    ),
    IFERROR(VLOOKUP($C17, '[1]Dettaglio pacchetti'!$A$1:$I$530, 8, FALSE), "")
)</f>
        <v>23.00</v>
      </c>
      <c r="M17" s="14" t="str" cm="1">
        <f t="array" ref="M17">IFERROR(
    VLOOKUP(
        INDEX('[1]Dettaglio pacchetti'!$AB$1:$AB$530,
            _xlfn.AGGREGATE(15, 6,
                ROW($1:$345)/(ISNUMBER(SEARCH('[1]Dettaglio pacchetti'!$AB$1:$AB$530, $C17))),
                1)
        ) &amp; "*",
        '[1]Dettaglio pacchetti'!$A$1:$I$530,
        9,
        FALSE
    ),
    IFERROR(VLOOKUP($C17, '[1]Dettaglio pacchetti'!$A$1:$I$530, 9, FALSE), "")
)</f>
        <v>ear</v>
      </c>
      <c r="N17" s="7"/>
      <c r="O17" s="6" t="s">
        <v>15</v>
      </c>
      <c r="P17" s="6" t="s">
        <v>15</v>
      </c>
      <c r="AA17" t="str" cm="1">
        <f t="array" ref="AA17">IFERROR(VLOOKUP(INDEX('[1]Dettaglio pacchetti'!$AB$1:$AB$530, _xlfn.AGGREGATE(15, 6, (ROW($1:$345))/(ISNUMBER(SEARCH('[1]Dettaglio pacchetti'!$AB$1:$AB$530, $C17))), 1)) &amp; "*", '[1]Dettaglio pacchetti'!$A$1:$N$530, 13, FALSE) &amp; "", "")</f>
        <v>https://dev.azure.com/realeitesorg/it.grma.anagrafeweb/_build?definitionId=3277</v>
      </c>
      <c r="AB17" t="str" cm="1">
        <f t="array" ref="AB17">IF(ISNUMBER(SEARCH("dev.azure.com", AA17)), IFERROR(VLOOKUP(INDEX('[1]Dettaglio pacchetti'!$AB$1:$AB$530, _xlfn.AGGREGATE(15, 6, (ROW($1:$345))/(ISNUMBER(SEARCH('[1]Dettaglio pacchetti'!$AB$1:$AB$530, $C17))), 1)) &amp; "*", '[1]Dettaglio pacchetti'!$A$1:$N$530, 1, FALSE) &amp; "", ""), "")</f>
        <v>ApiAnagrafeBE_EVOLUTIVA</v>
      </c>
      <c r="AC17" t="str" cm="1">
        <f t="array" ref="AC17">IFERROR(
    VLOOKUP(
        INDEX('[1]Dettaglio pacchetti'!$AB$1:$AB$530, _xlfn.AGGREGATE(15,6,ROW($1:$345)/(ISNUMBER(SEARCH('[1]Dettaglio pacchetti'!$AB$1:$AB$530,$C17))),1)) &amp; "*",
        '[1]Dettaglio pacchetti'!$A$1:$I$530,
        7,
        FALSE
    ),
    IFERROR(VLOOKUP($C17, '[1]Dettaglio pacchetti'!$A$1:$I$530, 7, FALSE), "")
)</f>
        <v>it.grma.anagrafeweb</v>
      </c>
      <c r="AD17" t="str" cm="1">
        <f t="array" ref="AD17">IFERROR(
    VLOOKUP(
        INDEX('[1]Dettaglio pacchetti'!$AB$1:$AB$530, _xlfn.AGGREGATE(15,6,ROW($1:$345)/(ISNUMBER(SEARCH('[1]Dettaglio pacchetti'!$AB$1:$AB$530,$C17))),1)) &amp; "*",
        '[1]Dettaglio pacchetti'!$A$1:$I$530,
        6,
        FALSE
    ),
    IFERROR(VLOOKUP($C17, '[1]Dettaglio pacchetti'!$A$1:$I$530, 6, FALSE), "")
)</f>
        <v>Azure Devops</v>
      </c>
      <c r="AE17"/>
    </row>
    <row r="18" spans="2:31" s="4" customFormat="1" ht="14.85" customHeight="1" x14ac:dyDescent="0.3">
      <c r="B18" s="17"/>
      <c r="C18" s="63" t="s">
        <v>371</v>
      </c>
      <c r="D18" s="14" t="str" cm="1">
        <f t="array" ref="D18">IFERROR(
    _xlfn.LET(
        _xlpm.risultato,
        IFERROR(
            _xlfn.XLOOKUP(TRIM(UPPER(G18)),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pacchetti'!$E$1:$E$530))=TRIM(UPPER(G18)),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>C20260820_0013</v>
      </c>
      <c r="E18" s="14" t="str" cm="1">
        <f t="array" ref="E18">IF(TRIM($B18)="SG-ANAGRAFE", "Bugni Batte",
    IF(TRIM($B18)="DW01A", "Cauda",
        IFERROR(
            VLOOKUP(
                INDEX('[1]Dettaglio pacchetti'!$AB$1:$AB$530,
                    _xlfn.AGGREGATE(15, 6,
                        (ROW($1:$345))/(ISNUMBER(SEARCH('[1]Dettaglio pacchetti'!$AB$1:$AB$530, $C18))),
                        1)
                ) &amp; "*",
                '[1]Dettaglio pacchetti'!$A$1:$I$530,
                3,
                FALSE
            ),
            IFERROR(VLOOKUP($C18, '[1]Dettaglio pacchetti'!$A$1:$I$530, 3, FALSE), "")
        )
    )
)</f>
        <v>Martino</v>
      </c>
      <c r="F18" s="14" t="str" cm="1">
        <f t="array" ref="F18">IF(TRIM($B18)="DW01A", "Rilascio  EDW Estrattori",
    IFERROR(
        VLOOKUP(
            INDEX('[1]Dettaglio pacchetti'!$AB$1:$AB$530,
                _xlfn.AGGREGATE(15, 6,
                    (ROW($1:$345))/(ISNUMBER(SEARCH('[1]Dettaglio pacchetti'!$AB$1:$AB$530, $C18))),
                    1)
            ) &amp; "*",
            '[1]Dettaglio pacchetti'!$A$1:$I$530,
            4,
            FALSE
        ),
        IFERROR(VLOOKUP($C18, '[1]Dettaglio pacchetti'!$A$1:$I$530, 4, FALSE), "")
    )
)</f>
        <v>Rilascio APIAutoRealeItes</v>
      </c>
      <c r="G18" s="14" t="str" cm="1">
        <f t="array" ref="G18">IF(TRIM($B18)="DW01A", "EDW - Estrattori",
    IF(TRIM($B18)="SG-ANAGRAFE", "SIGEA Anagrafe",
        IFERROR(
            VLOOKUP(
                INDEX('[1]Dettaglio pacchetti'!$AB$1:$AB$530,
                    _xlfn.AGGREGATE(15, 6,
                        (ROW($1:$345))/(ISNUMBER(SEARCH('[1]Dettaglio pacchetti'!$AB$1:$AB$530, $C18))),
                        1)
                ) &amp; "*",
                '[1]Dettaglio pacchetti'!$A$1:$I$530,
                5,
                FALSE
            ),
            IFERROR(VLOOKUP($C18, '[1]Dettaglio pacchetti'!$A$1:$I$530, 5, FALSE), "")
        )
    )
)</f>
        <v>BSA/BFF vari</v>
      </c>
      <c r="H18" s="14"/>
      <c r="I18" s="7" t="str">
        <f t="shared" si="0"/>
        <v>APIAutoRealeItes_EVOLUTIVA</v>
      </c>
      <c r="J18" t="str">
        <f t="shared" si="1"/>
        <v>it.apiServiceLayer</v>
      </c>
      <c r="K18" t="str">
        <f t="shared" si="2"/>
        <v/>
      </c>
      <c r="L18" s="14" t="str" cm="1">
        <f t="array" ref="L18">IFERROR(
    VLOOKUP(
        INDEX('[1]Dettaglio pacchetti'!$AB$1:$AB$530,
            _xlfn.AGGREGATE(15, 6,
                ROW($1:$345)/(ISNUMBER(SEARCH('[1]Dettaglio pacchetti'!$AB$1:$AB$530, $C18))),
                1)
        ) &amp; "*",
        '[1]Dettaglio pacchetti'!$A$1:$I$530,
        8,
        FALSE
    ),
    IFERROR(VLOOKUP($C18, '[1]Dettaglio pacchetti'!$A$1:$I$530, 8, FALSE), "")
)</f>
        <v>23.00</v>
      </c>
      <c r="M18" s="14" t="str" cm="1">
        <f t="array" ref="M18">IFERROR(
    VLOOKUP(
        INDEX('[1]Dettaglio pacchetti'!$AB$1:$AB$530,
            _xlfn.AGGREGATE(15, 6,
                ROW($1:$345)/(ISNUMBER(SEARCH('[1]Dettaglio pacchetti'!$AB$1:$AB$530, $C18))),
                1)
        ) &amp; "*",
        '[1]Dettaglio pacchetti'!$A$1:$I$530,
        9,
        FALSE
    ),
    IFERROR(VLOOKUP($C18, '[1]Dettaglio pacchetti'!$A$1:$I$530, 9, FALSE), "")
)</f>
        <v>aks</v>
      </c>
      <c r="N18" s="7"/>
      <c r="O18" s="6" t="s">
        <v>15</v>
      </c>
      <c r="P18" s="6" t="s">
        <v>15</v>
      </c>
      <c r="AA18" t="str" cm="1">
        <f t="array" ref="AA18">IFERROR(VLOOKUP(INDEX('[1]Dettaglio pacchetti'!$AB$1:$AB$530, _xlfn.AGGREGATE(15, 6, (ROW($1:$345))/(ISNUMBER(SEARCH('[1]Dettaglio pacchetti'!$AB$1:$AB$530, $C18))), 1)) &amp; "*", '[1]Dettaglio pacchetti'!$A$1:$N$530, 13, FALSE) &amp; "", "")</f>
        <v>https://dev.azure.com/realeitesorg/it.apiServiceLayer/_build?definitionId=917</v>
      </c>
      <c r="AB18" t="str" cm="1">
        <f t="array" ref="AB18">IF(ISNUMBER(SEARCH("dev.azure.com", AA18)), IFERROR(VLOOKUP(INDEX('[1]Dettaglio pacchetti'!$AB$1:$AB$530, _xlfn.AGGREGATE(15, 6, (ROW($1:$345))/(ISNUMBER(SEARCH('[1]Dettaglio pacchetti'!$AB$1:$AB$530, $C18))), 1)) &amp; "*", '[1]Dettaglio pacchetti'!$A$1:$N$530, 1, FALSE) &amp; "", ""), "")</f>
        <v>APIAutoRealeItes_EVOLUTIVA</v>
      </c>
      <c r="AC18" t="str" cm="1">
        <f t="array" ref="AC18">IFERROR(
    VLOOKUP(
        INDEX('[1]Dettaglio pacchetti'!$AB$1:$AB$530, _xlfn.AGGREGATE(15,6,ROW($1:$345)/(ISNUMBER(SEARCH('[1]Dettaglio pacchetti'!$AB$1:$AB$530,$C18))),1)) &amp; "*",
        '[1]Dettaglio pacchetti'!$A$1:$I$530,
        7,
        FALSE
    ),
    IFERROR(VLOOKUP($C18, '[1]Dettaglio pacchetti'!$A$1:$I$530, 7, FALSE), "")
)</f>
        <v>it.apiServiceLayer</v>
      </c>
      <c r="AD18" t="str" cm="1">
        <f t="array" ref="AD18">IFERROR(
    VLOOKUP(
        INDEX('[1]Dettaglio pacchetti'!$AB$1:$AB$530, _xlfn.AGGREGATE(15,6,ROW($1:$345)/(ISNUMBER(SEARCH('[1]Dettaglio pacchetti'!$AB$1:$AB$530,$C18))),1)) &amp; "*",
        '[1]Dettaglio pacchetti'!$A$1:$I$530,
        6,
        FALSE
    ),
    IFERROR(VLOOKUP($C18, '[1]Dettaglio pacchetti'!$A$1:$I$530, 6, FALSE), "")
)</f>
        <v>Azure Devops</v>
      </c>
      <c r="AE18"/>
    </row>
    <row r="19" spans="2:31" s="4" customFormat="1" ht="14.25" customHeight="1" x14ac:dyDescent="0.3">
      <c r="B19" s="17"/>
      <c r="C19" s="63" t="s">
        <v>372</v>
      </c>
      <c r="D19" s="14" t="str" cm="1">
        <f t="array" ref="D19">IFERROR(
    _xlfn.LET(
        _xlpm.risultato,
        IFERROR(
            _xlfn.XLOOKUP(TRIM(UPPER(G19)),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pacchetti'!$E$1:$E$530))=TRIM(UPPER(G19)),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>C20260820_0013</v>
      </c>
      <c r="E19" s="14" t="str" cm="1">
        <f t="array" ref="E19">IF(TRIM($B19)="SG-ANAGRAFE", "Bugni Batte",
    IF(TRIM($B19)="DW01A", "Cauda",
        IFERROR(
            VLOOKUP(
                INDEX('[1]Dettaglio pacchetti'!$AB$1:$AB$530,
                    _xlfn.AGGREGATE(15, 6,
                        (ROW($1:$345))/(ISNUMBER(SEARCH('[1]Dettaglio pacchetti'!$AB$1:$AB$530, $C19))),
                        1)
                ) &amp; "*",
                '[1]Dettaglio pacchetti'!$A$1:$I$530,
                3,
                FALSE
            ),
            IFERROR(VLOOKUP($C19, '[1]Dettaglio pacchetti'!$A$1:$I$530, 3, FALSE), "")
        )
    )
)</f>
        <v>Martino</v>
      </c>
      <c r="F19" s="14" t="str" cm="1">
        <f t="array" ref="F19">IF(TRIM($B19)="DW01A", "Rilascio  EDW Estrattori",
    IFERROR(
        VLOOKUP(
            INDEX('[1]Dettaglio pacchetti'!$AB$1:$AB$530,
                _xlfn.AGGREGATE(15, 6,
                    (ROW($1:$345))/(ISNUMBER(SEARCH('[1]Dettaglio pacchetti'!$AB$1:$AB$530, $C19))),
                    1)
            ) &amp; "*",
            '[1]Dettaglio pacchetti'!$A$1:$I$530,
            4,
            FALSE
        ),
        IFERROR(VLOOKUP($C19, '[1]Dettaglio pacchetti'!$A$1:$I$530, 4, FALSE), "")
    )
)</f>
        <v>Rilascio APIDanniNonAutoRealeItes</v>
      </c>
      <c r="G19" s="14" t="str" cm="1">
        <f t="array" ref="G19">IF(TRIM($B19)="DW01A", "EDW - Estrattori",
    IF(TRIM($B19)="SG-ANAGRAFE", "SIGEA Anagrafe",
        IFERROR(
            VLOOKUP(
                INDEX('[1]Dettaglio pacchetti'!$AB$1:$AB$530,
                    _xlfn.AGGREGATE(15, 6,
                        (ROW($1:$345))/(ISNUMBER(SEARCH('[1]Dettaglio pacchetti'!$AB$1:$AB$530, $C19))),
                        1)
                ) &amp; "*",
                '[1]Dettaglio pacchetti'!$A$1:$I$530,
                5,
                FALSE
            ),
            IFERROR(VLOOKUP($C19, '[1]Dettaglio pacchetti'!$A$1:$I$530, 5, FALSE), "")
        )
    )
)</f>
        <v>BSA/BFF vari</v>
      </c>
      <c r="H19" s="14"/>
      <c r="I19" s="7" t="str">
        <f t="shared" si="0"/>
        <v>APIDanniNonAutoRealeItes_EVOLUTIVA</v>
      </c>
      <c r="J19" t="str">
        <f t="shared" si="1"/>
        <v>it.apiServiceLayer</v>
      </c>
      <c r="K19" t="str">
        <f t="shared" si="2"/>
        <v/>
      </c>
      <c r="L19" s="14" t="str" cm="1">
        <f t="array" ref="L19">IFERROR(
    VLOOKUP(
        INDEX('[1]Dettaglio pacchetti'!$AB$1:$AB$530,
            _xlfn.AGGREGATE(15, 6,
                ROW($1:$345)/(ISNUMBER(SEARCH('[1]Dettaglio pacchetti'!$AB$1:$AB$530, $C19))),
                1)
        ) &amp; "*",
        '[1]Dettaglio pacchetti'!$A$1:$I$530,
        8,
        FALSE
    ),
    IFERROR(VLOOKUP($C19, '[1]Dettaglio pacchetti'!$A$1:$I$530, 8, FALSE), "")
)</f>
        <v>23.00</v>
      </c>
      <c r="M19" s="14" t="str" cm="1">
        <f t="array" ref="M19">IFERROR(
    VLOOKUP(
        INDEX('[1]Dettaglio pacchetti'!$AB$1:$AB$530,
            _xlfn.AGGREGATE(15, 6,
                ROW($1:$345)/(ISNUMBER(SEARCH('[1]Dettaglio pacchetti'!$AB$1:$AB$530, $C19))),
                1)
        ) &amp; "*",
        '[1]Dettaglio pacchetti'!$A$1:$I$530,
        9,
        FALSE
    ),
    IFERROR(VLOOKUP($C19, '[1]Dettaglio pacchetti'!$A$1:$I$530, 9, FALSE), "")
)</f>
        <v>aks</v>
      </c>
      <c r="N19" s="7"/>
      <c r="O19" s="6" t="s">
        <v>15</v>
      </c>
      <c r="P19" s="6" t="s">
        <v>15</v>
      </c>
      <c r="AA19" t="str" cm="1">
        <f t="array" ref="AA19">IFERROR(VLOOKUP(INDEX('[1]Dettaglio pacchetti'!$AB$1:$AB$530, _xlfn.AGGREGATE(15, 6, (ROW($1:$345))/(ISNUMBER(SEARCH('[1]Dettaglio pacchetti'!$AB$1:$AB$530, $C19))), 1)) &amp; "*", '[1]Dettaglio pacchetti'!$A$1:$N$530, 13, FALSE) &amp; "", "")</f>
        <v>https://dev.azure.com/realeitesorg/it.apiServiceLayer/_build?definitionId=922</v>
      </c>
      <c r="AB19" t="str" cm="1">
        <f t="array" ref="AB19">IF(ISNUMBER(SEARCH("dev.azure.com", AA19)), IFERROR(VLOOKUP(INDEX('[1]Dettaglio pacchetti'!$AB$1:$AB$530, _xlfn.AGGREGATE(15, 6, (ROW($1:$345))/(ISNUMBER(SEARCH('[1]Dettaglio pacchetti'!$AB$1:$AB$530, $C19))), 1)) &amp; "*", '[1]Dettaglio pacchetti'!$A$1:$N$530, 1, FALSE) &amp; "", ""), "")</f>
        <v>APIDanniNonAutoRealeItes_EVOLUTIVA</v>
      </c>
      <c r="AC19" t="str" cm="1">
        <f t="array" ref="AC19">IFERROR(
    VLOOKUP(
        INDEX('[1]Dettaglio pacchetti'!$AB$1:$AB$530, _xlfn.AGGREGATE(15,6,ROW($1:$345)/(ISNUMBER(SEARCH('[1]Dettaglio pacchetti'!$AB$1:$AB$530,$C19))),1)) &amp; "*",
        '[1]Dettaglio pacchetti'!$A$1:$I$530,
        7,
        FALSE
    ),
    IFERROR(VLOOKUP($C19, '[1]Dettaglio pacchetti'!$A$1:$I$530, 7, FALSE), "")
)</f>
        <v>it.apiServiceLayer</v>
      </c>
      <c r="AD19" t="str" cm="1">
        <f t="array" ref="AD19">IFERROR(
    VLOOKUP(
        INDEX('[1]Dettaglio pacchetti'!$AB$1:$AB$530, _xlfn.AGGREGATE(15,6,ROW($1:$345)/(ISNUMBER(SEARCH('[1]Dettaglio pacchetti'!$AB$1:$AB$530,$C19))),1)) &amp; "*",
        '[1]Dettaglio pacchetti'!$A$1:$I$530,
        6,
        FALSE
    ),
    IFERROR(VLOOKUP($C19, '[1]Dettaglio pacchetti'!$A$1:$I$530, 6, FALSE), "")
)</f>
        <v>Azure Devops</v>
      </c>
      <c r="AE19"/>
    </row>
    <row r="20" spans="2:31" s="4" customFormat="1" ht="15" customHeight="1" x14ac:dyDescent="0.3">
      <c r="B20" s="17"/>
      <c r="C20" s="63" t="s">
        <v>373</v>
      </c>
      <c r="D20" s="14" t="str" cm="1">
        <f t="array" ref="D20">IFERROR(
    _xlfn.LET(
        _xlpm.risultato,
        IFERROR(
            _xlfn.XLOOKUP(TRIM(UPPER(G20)),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pacchetti'!$E$1:$E$530))=TRIM(UPPER(G20)),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>C20260820_0013</v>
      </c>
      <c r="E20" s="14" t="str" cm="1">
        <f t="array" ref="E20">IF(TRIM($B20)="SG-ANAGRAFE", "Bugni Batte",
    IF(TRIM($B20)="DW01A", "Cauda",
        IFERROR(
            VLOOKUP(
                INDEX('[1]Dettaglio pacchetti'!$AB$1:$AB$530,
                    _xlfn.AGGREGATE(15, 6,
                        (ROW($1:$345))/(ISNUMBER(SEARCH('[1]Dettaglio pacchetti'!$AB$1:$AB$530, $C20))),
                        1)
                ) &amp; "*",
                '[1]Dettaglio pacchetti'!$A$1:$I$530,
                3,
                FALSE
            ),
            IFERROR(VLOOKUP($C20, '[1]Dettaglio pacchetti'!$A$1:$I$530, 3, FALSE), "")
        )
    )
)</f>
        <v>Martino</v>
      </c>
      <c r="F20" s="14" t="str" cm="1">
        <f t="array" ref="F20">IF(TRIM($B20)="DW01A", "Rilascio  EDW Estrattori",
    IFERROR(
        VLOOKUP(
            INDEX('[1]Dettaglio pacchetti'!$AB$1:$AB$530,
                _xlfn.AGGREGATE(15, 6,
                    (ROW($1:$345))/(ISNUMBER(SEARCH('[1]Dettaglio pacchetti'!$AB$1:$AB$530, $C20))),
                    1)
            ) &amp; "*",
            '[1]Dettaglio pacchetti'!$A$1:$I$530,
            4,
            FALSE
        ),
        IFERROR(VLOOKUP($C20, '[1]Dettaglio pacchetti'!$A$1:$I$530, 4, FALSE), "")
    )
)</f>
        <v>Rilascio APIDocumentaleRealeItes</v>
      </c>
      <c r="G20" s="14" t="str" cm="1">
        <f t="array" ref="G20">IF(TRIM($B20)="DW01A", "EDW - Estrattori",
    IF(TRIM($B20)="SG-ANAGRAFE", "SIGEA Anagrafe",
        IFERROR(
            VLOOKUP(
                INDEX('[1]Dettaglio pacchetti'!$AB$1:$AB$530,
                    _xlfn.AGGREGATE(15, 6,
                        (ROW($1:$345))/(ISNUMBER(SEARCH('[1]Dettaglio pacchetti'!$AB$1:$AB$530, $C20))),
                        1)
                ) &amp; "*",
                '[1]Dettaglio pacchetti'!$A$1:$I$530,
                5,
                FALSE
            ),
            IFERROR(VLOOKUP($C20, '[1]Dettaglio pacchetti'!$A$1:$I$530, 5, FALSE), "")
        )
    )
)</f>
        <v>BSA/BFF vari</v>
      </c>
      <c r="H20" s="14"/>
      <c r="I20" s="7" t="str">
        <f t="shared" si="0"/>
        <v>APIDocumentaleRealeItes_EVOLUTIVA</v>
      </c>
      <c r="J20" t="str">
        <f t="shared" si="1"/>
        <v>it.apiServiceLayer</v>
      </c>
      <c r="K20" t="str">
        <f t="shared" si="2"/>
        <v/>
      </c>
      <c r="L20" s="14" t="str" cm="1">
        <f t="array" ref="L20">IFERROR(
    VLOOKUP(
        INDEX('[1]Dettaglio pacchetti'!$AB$1:$AB$530,
            _xlfn.AGGREGATE(15, 6,
                ROW($1:$345)/(ISNUMBER(SEARCH('[1]Dettaglio pacchetti'!$AB$1:$AB$530, $C20))),
                1)
        ) &amp; "*",
        '[1]Dettaglio pacchetti'!$A$1:$I$530,
        8,
        FALSE
    ),
    IFERROR(VLOOKUP($C20, '[1]Dettaglio pacchetti'!$A$1:$I$530, 8, FALSE), "")
)</f>
        <v>23.00</v>
      </c>
      <c r="M20" s="14" t="str" cm="1">
        <f t="array" ref="M20">IFERROR(
    VLOOKUP(
        INDEX('[1]Dettaglio pacchetti'!$AB$1:$AB$530,
            _xlfn.AGGREGATE(15, 6,
                ROW($1:$345)/(ISNUMBER(SEARCH('[1]Dettaglio pacchetti'!$AB$1:$AB$530, $C20))),
                1)
        ) &amp; "*",
        '[1]Dettaglio pacchetti'!$A$1:$I$530,
        9,
        FALSE
    ),
    IFERROR(VLOOKUP($C20, '[1]Dettaglio pacchetti'!$A$1:$I$530, 9, FALSE), "")
)</f>
        <v>aks</v>
      </c>
      <c r="N20" s="7"/>
      <c r="O20" s="6" t="s">
        <v>15</v>
      </c>
      <c r="P20" s="6" t="s">
        <v>15</v>
      </c>
      <c r="AA20" t="str" cm="1">
        <f t="array" ref="AA20">IFERROR(VLOOKUP(INDEX('[1]Dettaglio pacchetti'!$AB$1:$AB$530, _xlfn.AGGREGATE(15, 6, (ROW($1:$345))/(ISNUMBER(SEARCH('[1]Dettaglio pacchetti'!$AB$1:$AB$530, $C20))), 1)) &amp; "*", '[1]Dettaglio pacchetti'!$A$1:$N$530, 13, FALSE) &amp; "", "")</f>
        <v>https://dev.azure.com/realeitesorg/it.apiServiceLayer/_build?definitionId=892</v>
      </c>
      <c r="AB20" t="str" cm="1">
        <f t="array" ref="AB20">IF(ISNUMBER(SEARCH("dev.azure.com", AA20)), IFERROR(VLOOKUP(INDEX('[1]Dettaglio pacchetti'!$AB$1:$AB$530, _xlfn.AGGREGATE(15, 6, (ROW($1:$345))/(ISNUMBER(SEARCH('[1]Dettaglio pacchetti'!$AB$1:$AB$530, $C20))), 1)) &amp; "*", '[1]Dettaglio pacchetti'!$A$1:$N$530, 1, FALSE) &amp; "", ""), "")</f>
        <v>APIDocumentaleRealeItes_EVOLUTIVA</v>
      </c>
      <c r="AC20" t="str" cm="1">
        <f t="array" ref="AC20">IFERROR(
    VLOOKUP(
        INDEX('[1]Dettaglio pacchetti'!$AB$1:$AB$530, _xlfn.AGGREGATE(15,6,ROW($1:$345)/(ISNUMBER(SEARCH('[1]Dettaglio pacchetti'!$AB$1:$AB$530,$C20))),1)) &amp; "*",
        '[1]Dettaglio pacchetti'!$A$1:$I$530,
        7,
        FALSE
    ),
    IFERROR(VLOOKUP($C20, '[1]Dettaglio pacchetti'!$A$1:$I$530, 7, FALSE), "")
)</f>
        <v>it.apiServiceLayer</v>
      </c>
      <c r="AD20" t="str" cm="1">
        <f t="array" ref="AD20">IFERROR(
    VLOOKUP(
        INDEX('[1]Dettaglio pacchetti'!$AB$1:$AB$530, _xlfn.AGGREGATE(15,6,ROW($1:$345)/(ISNUMBER(SEARCH('[1]Dettaglio pacchetti'!$AB$1:$AB$530,$C20))),1)) &amp; "*",
        '[1]Dettaglio pacchetti'!$A$1:$I$530,
        6,
        FALSE
    ),
    IFERROR(VLOOKUP($C20, '[1]Dettaglio pacchetti'!$A$1:$I$530, 6, FALSE), "")
)</f>
        <v>Azure Devops</v>
      </c>
      <c r="AE20"/>
    </row>
    <row r="21" spans="2:31" s="4" customFormat="1" ht="12.75" customHeight="1" x14ac:dyDescent="0.3">
      <c r="B21" s="17"/>
      <c r="C21" s="63" t="s">
        <v>374</v>
      </c>
      <c r="D21" s="14" t="str" cm="1">
        <f t="array" ref="D21">IFERROR(
    _xlfn.LET(
        _xlpm.risultato,
        IFERROR(
            _xlfn.XLOOKUP(TRIM(UPPER(G21)),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pacchetti'!$E$1:$E$530))=TRIM(UPPER(G21)),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>C20260820_0013</v>
      </c>
      <c r="E21" s="14" t="str" cm="1">
        <f t="array" ref="E21">IF(TRIM($B21)="SG-ANAGRAFE", "Bugni Batte",
    IF(TRIM($B21)="DW01A", "Cauda",
        IFERROR(
            VLOOKUP(
                INDEX('[1]Dettaglio pacchetti'!$AB$1:$AB$530,
                    _xlfn.AGGREGATE(15, 6,
                        (ROW($1:$345))/(ISNUMBER(SEARCH('[1]Dettaglio pacchetti'!$AB$1:$AB$530, $C21))),
                        1)
                ) &amp; "*",
                '[1]Dettaglio pacchetti'!$A$1:$I$530,
                3,
                FALSE
            ),
            IFERROR(VLOOKUP($C21, '[1]Dettaglio pacchetti'!$A$1:$I$530, 3, FALSE), "")
        )
    )
)</f>
        <v>Martino</v>
      </c>
      <c r="F21" s="14" t="str" cm="1">
        <f t="array" ref="F21">IF(TRIM($B21)="DW01A", "Rilascio  EDW Estrattori",
    IFERROR(
        VLOOKUP(
            INDEX('[1]Dettaglio pacchetti'!$AB$1:$AB$530,
                _xlfn.AGGREGATE(15, 6,
                    (ROW($1:$345))/(ISNUMBER(SEARCH('[1]Dettaglio pacchetti'!$AB$1:$AB$530, $C21))),
                    1)
            ) &amp; "*",
            '[1]Dettaglio pacchetti'!$A$1:$I$530,
            4,
            FALSE
        ),
        IFERROR(VLOOKUP($C21, '[1]Dettaglio pacchetti'!$A$1:$I$530, 4, FALSE), "")
    )
)</f>
        <v>Rilascio APIQuestionarioAdeguatezzaRealeItes</v>
      </c>
      <c r="G21" s="14" t="str" cm="1">
        <f t="array" ref="G21">IF(TRIM($B21)="DW01A", "EDW - Estrattori",
    IF(TRIM($B21)="SG-ANAGRAFE", "SIGEA Anagrafe",
        IFERROR(
            VLOOKUP(
                INDEX('[1]Dettaglio pacchetti'!$AB$1:$AB$530,
                    _xlfn.AGGREGATE(15, 6,
                        (ROW($1:$345))/(ISNUMBER(SEARCH('[1]Dettaglio pacchetti'!$AB$1:$AB$530, $C21))),
                        1)
                ) &amp; "*",
                '[1]Dettaglio pacchetti'!$A$1:$I$530,
                5,
                FALSE
            ),
            IFERROR(VLOOKUP($C21, '[1]Dettaglio pacchetti'!$A$1:$I$530, 5, FALSE), "")
        )
    )
)</f>
        <v>BSA/BFF vari</v>
      </c>
      <c r="H21" s="14"/>
      <c r="I21" s="7" t="str">
        <f t="shared" si="0"/>
        <v>APIQuestionarioAdeguatezzaRealeItes_EVOLUTIVA</v>
      </c>
      <c r="J21" t="str">
        <f t="shared" si="1"/>
        <v>it.apiServiceLayer</v>
      </c>
      <c r="K21" t="str">
        <f t="shared" si="2"/>
        <v/>
      </c>
      <c r="L21" s="14" t="str" cm="1">
        <f t="array" ref="L21">IFERROR(
    VLOOKUP(
        INDEX('[1]Dettaglio pacchetti'!$AB$1:$AB$530,
            _xlfn.AGGREGATE(15, 6,
                ROW($1:$345)/(ISNUMBER(SEARCH('[1]Dettaglio pacchetti'!$AB$1:$AB$530, $C21))),
                1)
        ) &amp; "*",
        '[1]Dettaglio pacchetti'!$A$1:$I$530,
        8,
        FALSE
    ),
    IFERROR(VLOOKUP($C21, '[1]Dettaglio pacchetti'!$A$1:$I$530, 8, FALSE), "")
)</f>
        <v>23.00</v>
      </c>
      <c r="M21" s="14" t="str" cm="1">
        <f t="array" ref="M21">IFERROR(
    VLOOKUP(
        INDEX('[1]Dettaglio pacchetti'!$AB$1:$AB$530,
            _xlfn.AGGREGATE(15, 6,
                ROW($1:$345)/(ISNUMBER(SEARCH('[1]Dettaglio pacchetti'!$AB$1:$AB$530, $C21))),
                1)
        ) &amp; "*",
        '[1]Dettaglio pacchetti'!$A$1:$I$530,
        9,
        FALSE
    ),
    IFERROR(VLOOKUP($C21, '[1]Dettaglio pacchetti'!$A$1:$I$530, 9, FALSE), "")
)</f>
        <v>aks</v>
      </c>
      <c r="N21" s="27" t="s">
        <v>16</v>
      </c>
      <c r="O21" s="6" t="s">
        <v>15</v>
      </c>
      <c r="P21" s="6" t="s">
        <v>15</v>
      </c>
      <c r="AA21" t="str" cm="1">
        <f t="array" ref="AA21">IFERROR(VLOOKUP(INDEX('[1]Dettaglio pacchetti'!$AB$1:$AB$530, _xlfn.AGGREGATE(15, 6, (ROW($1:$345))/(ISNUMBER(SEARCH('[1]Dettaglio pacchetti'!$AB$1:$AB$530, $C21))), 1)) &amp; "*", '[1]Dettaglio pacchetti'!$A$1:$N$530, 13, FALSE) &amp; "", "")</f>
        <v>https://dev.azure.com/realeitesorg/it.apiServiceLayer/_build?definitionId=856</v>
      </c>
      <c r="AB21" t="str" cm="1">
        <f t="array" ref="AB21">IF(ISNUMBER(SEARCH("dev.azure.com", AA21)), IFERROR(VLOOKUP(INDEX('[1]Dettaglio pacchetti'!$AB$1:$AB$530, _xlfn.AGGREGATE(15, 6, (ROW($1:$345))/(ISNUMBER(SEARCH('[1]Dettaglio pacchetti'!$AB$1:$AB$530, $C21))), 1)) &amp; "*", '[1]Dettaglio pacchetti'!$A$1:$N$530, 1, FALSE) &amp; "", ""), "")</f>
        <v>APIQuestionarioAdeguatezzaRealeItes_EVOLUTIVA</v>
      </c>
      <c r="AC21" t="str" cm="1">
        <f t="array" ref="AC21">IFERROR(
    VLOOKUP(
        INDEX('[1]Dettaglio pacchetti'!$AB$1:$AB$530, _xlfn.AGGREGATE(15,6,ROW($1:$345)/(ISNUMBER(SEARCH('[1]Dettaglio pacchetti'!$AB$1:$AB$530,$C21))),1)) &amp; "*",
        '[1]Dettaglio pacchetti'!$A$1:$I$530,
        7,
        FALSE
    ),
    IFERROR(VLOOKUP($C21, '[1]Dettaglio pacchetti'!$A$1:$I$530, 7, FALSE), "")
)</f>
        <v>it.apiServiceLayer</v>
      </c>
      <c r="AD21" t="str" cm="1">
        <f t="array" ref="AD21">IFERROR(
    VLOOKUP(
        INDEX('[1]Dettaglio pacchetti'!$AB$1:$AB$530, _xlfn.AGGREGATE(15,6,ROW($1:$345)/(ISNUMBER(SEARCH('[1]Dettaglio pacchetti'!$AB$1:$AB$530,$C21))),1)) &amp; "*",
        '[1]Dettaglio pacchetti'!$A$1:$I$530,
        6,
        FALSE
    ),
    IFERROR(VLOOKUP($C21, '[1]Dettaglio pacchetti'!$A$1:$I$530, 6, FALSE), "")
)</f>
        <v>Azure Devops</v>
      </c>
      <c r="AE21"/>
    </row>
    <row r="22" spans="2:31" s="4" customFormat="1" ht="14.25" customHeight="1" x14ac:dyDescent="0.3">
      <c r="B22" s="17"/>
      <c r="C22" s="63" t="s">
        <v>375</v>
      </c>
      <c r="D22" s="14" t="str" cm="1">
        <f t="array" ref="D22">IFERROR(
    _xlfn.LET(
        _xlpm.risultato,
        IFERROR(
            _xlfn.XLOOKUP(TRIM(UPPER(G22)),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pacchetti'!$E$1:$E$530))=TRIM(UPPER(G22)),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>C20260820_0013</v>
      </c>
      <c r="E22" s="14" t="str" cm="1">
        <f t="array" ref="E22">IF(TRIM($B22)="SG-ANAGRAFE", "Bugni Batte",
    IF(TRIM($B22)="DW01A", "Cauda",
        IFERROR(
            VLOOKUP(
                INDEX('[1]Dettaglio pacchetti'!$AB$1:$AB$530,
                    _xlfn.AGGREGATE(15, 6,
                        (ROW($1:$345))/(ISNUMBER(SEARCH('[1]Dettaglio pacchetti'!$AB$1:$AB$530, $C22))),
                        1)
                ) &amp; "*",
                '[1]Dettaglio pacchetti'!$A$1:$I$530,
                3,
                FALSE
            ),
            IFERROR(VLOOKUP($C22, '[1]Dettaglio pacchetti'!$A$1:$I$530, 3, FALSE), "")
        )
    )
)</f>
        <v>Martino</v>
      </c>
      <c r="F22" s="14" t="str" cm="1">
        <f t="array" ref="F22">IF(TRIM($B22)="DW01A", "Rilascio  EDW Estrattori",
    IFERROR(
        VLOOKUP(
            INDEX('[1]Dettaglio pacchetti'!$AB$1:$AB$530,
                _xlfn.AGGREGATE(15, 6,
                    (ROW($1:$345))/(ISNUMBER(SEARCH('[1]Dettaglio pacchetti'!$AB$1:$AB$530, $C22))),
                    1)
            ) &amp; "*",
            '[1]Dettaglio pacchetti'!$A$1:$I$530,
            4,
            FALSE
        ),
        IFERROR(VLOOKUP($C22, '[1]Dettaglio pacchetti'!$A$1:$I$530, 4, FALSE), "")
    )
)</f>
        <v>Rilascio APIComuneRealeItes - CONFIG PRODUZIONE</v>
      </c>
      <c r="G22" s="14" t="str" cm="1">
        <f t="array" ref="G22">IF(TRIM($B22)="DW01A", "EDW - Estrattori",
    IF(TRIM($B22)="SG-ANAGRAFE", "SIGEA Anagrafe",
        IFERROR(
            VLOOKUP(
                INDEX('[1]Dettaglio pacchetti'!$AB$1:$AB$530,
                    _xlfn.AGGREGATE(15, 6,
                        (ROW($1:$345))/(ISNUMBER(SEARCH('[1]Dettaglio pacchetti'!$AB$1:$AB$530, $C22))),
                        1)
                ) &amp; "*",
                '[1]Dettaglio pacchetti'!$A$1:$I$530,
                5,
                FALSE
            ),
            IFERROR(VLOOKUP($C22, '[1]Dettaglio pacchetti'!$A$1:$I$530, 5, FALSE), "")
        )
    )
)</f>
        <v>BSA/BFF vari</v>
      </c>
      <c r="H22" s="14"/>
      <c r="I22" s="7" t="str">
        <f t="shared" si="0"/>
        <v>APIComuneRealeItes - CONFIG PRODUZIONE</v>
      </c>
      <c r="J22" t="str">
        <f t="shared" si="1"/>
        <v>it.apiServiceLayer</v>
      </c>
      <c r="K22" t="str">
        <f t="shared" si="2"/>
        <v/>
      </c>
      <c r="L22" s="14" t="str" cm="1">
        <f t="array" ref="L22">IFERROR(
    VLOOKUP(
        INDEX('[1]Dettaglio pacchetti'!$AB$1:$AB$530,
            _xlfn.AGGREGATE(15, 6,
                ROW($1:$345)/(ISNUMBER(SEARCH('[1]Dettaglio pacchetti'!$AB$1:$AB$530, $C22))),
                1)
        ) &amp; "*",
        '[1]Dettaglio pacchetti'!$A$1:$I$530,
        8,
        FALSE
    ),
    IFERROR(VLOOKUP($C22, '[1]Dettaglio pacchetti'!$A$1:$I$530, 8, FALSE), "")
)</f>
        <v>22.00</v>
      </c>
      <c r="M22" s="14" t="str" cm="1">
        <f t="array" ref="M22">IFERROR(
    VLOOKUP(
        INDEX('[1]Dettaglio pacchetti'!$AB$1:$AB$530,
            _xlfn.AGGREGATE(15, 6,
                ROW($1:$345)/(ISNUMBER(SEARCH('[1]Dettaglio pacchetti'!$AB$1:$AB$530, $C22))),
                1)
        ) &amp; "*",
        '[1]Dettaglio pacchetti'!$A$1:$I$530,
        9,
        FALSE
    ),
    IFERROR(VLOOKUP($C22, '[1]Dettaglio pacchetti'!$A$1:$I$530, 9, FALSE), "")
)</f>
        <v>aks</v>
      </c>
      <c r="N22" s="7"/>
      <c r="O22" s="6" t="s">
        <v>15</v>
      </c>
      <c r="P22" s="6" t="s">
        <v>15</v>
      </c>
      <c r="AA22" t="str" cm="1">
        <f t="array" ref="AA22">IFERROR(VLOOKUP(INDEX('[1]Dettaglio pacchetti'!$AB$1:$AB$530, _xlfn.AGGREGATE(15, 6, (ROW($1:$345))/(ISNUMBER(SEARCH('[1]Dettaglio pacchetti'!$AB$1:$AB$530, $C22))), 1)) &amp; "*", '[1]Dettaglio pacchetti'!$A$1:$N$530, 13, FALSE) &amp; "", "")</f>
        <v>https://dev.azure.com/realeitesorg/it.apiServiceLayer/_build?definitionId=4172</v>
      </c>
      <c r="AB22" t="str" cm="1">
        <f t="array" ref="AB22">IF(ISNUMBER(SEARCH("dev.azure.com", AA22)), IFERROR(VLOOKUP(INDEX('[1]Dettaglio pacchetti'!$AB$1:$AB$530, _xlfn.AGGREGATE(15, 6, (ROW($1:$345))/(ISNUMBER(SEARCH('[1]Dettaglio pacchetti'!$AB$1:$AB$530, $C22))), 1)) &amp; "*", '[1]Dettaglio pacchetti'!$A$1:$N$530, 1, FALSE) &amp; "", ""), "")</f>
        <v>APIComuneRealeItes - CONFIG PRODUZIONE</v>
      </c>
      <c r="AC22" t="str" cm="1">
        <f t="array" ref="AC22">IFERROR(
    VLOOKUP(
        INDEX('[1]Dettaglio pacchetti'!$AB$1:$AB$530, _xlfn.AGGREGATE(15,6,ROW($1:$345)/(ISNUMBER(SEARCH('[1]Dettaglio pacchetti'!$AB$1:$AB$530,$C22))),1)) &amp; "*",
        '[1]Dettaglio pacchetti'!$A$1:$I$530,
        7,
        FALSE
    ),
    IFERROR(VLOOKUP($C22, '[1]Dettaglio pacchetti'!$A$1:$I$530, 7, FALSE), "")
)</f>
        <v>it.apiServiceLayer</v>
      </c>
      <c r="AD22" t="str" cm="1">
        <f t="array" ref="AD22">IFERROR(
    VLOOKUP(
        INDEX('[1]Dettaglio pacchetti'!$AB$1:$AB$530, _xlfn.AGGREGATE(15,6,ROW($1:$345)/(ISNUMBER(SEARCH('[1]Dettaglio pacchetti'!$AB$1:$AB$530,$C22))),1)) &amp; "*",
        '[1]Dettaglio pacchetti'!$A$1:$I$530,
        6,
        FALSE
    ),
    IFERROR(VLOOKUP($C22, '[1]Dettaglio pacchetti'!$A$1:$I$530, 6, FALSE), "")
)</f>
        <v>Azure Devops</v>
      </c>
      <c r="AE22"/>
    </row>
    <row r="23" spans="2:31" s="4" customFormat="1" ht="14.85" customHeight="1" x14ac:dyDescent="0.3">
      <c r="B23" s="24"/>
      <c r="C23" s="62" t="s">
        <v>376</v>
      </c>
      <c r="D23" s="14" t="str" cm="1">
        <f t="array" ref="D23">IFERROR(
    _xlfn.LET(
        _xlpm.risultato,
        IFERROR(
            _xlfn.XLOOKUP(TRIM(UPPER(G23)),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pacchetti'!$E$1:$E$530))=TRIM(UPPER(G23)),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23" s="14" t="str" cm="1">
        <f t="array" ref="E23">IF(TRIM($B23)="SG-ANAGRAFE", "Bugni Batte",
    IF(TRIM($B23)="DW01A", "Cauda",
        IFERROR(
            VLOOKUP(
                INDEX('[1]Dettaglio pacchetti'!$AB$1:$AB$530,
                    _xlfn.AGGREGATE(15, 6,
                        (ROW($1:$345))/(ISNUMBER(SEARCH('[1]Dettaglio pacchetti'!$AB$1:$AB$530, $C23))),
                        1)
                ) &amp; "*",
                '[1]Dettaglio pacchetti'!$A$1:$I$530,
                3,
                FALSE
            ),
            IFERROR(VLOOKUP($C23, '[1]Dettaglio pacchetti'!$A$1:$I$530, 3, FALSE), "")
        )
    )
)</f>
        <v>Rocca</v>
      </c>
      <c r="F23" s="14" t="str" cm="1">
        <f t="array" ref="F23">IF(TRIM($B23)="DW01A", "Rilascio  EDW Estrattori",
    IFERROR(
        VLOOKUP(
            INDEX('[1]Dettaglio pacchetti'!$AB$1:$AB$530,
                _xlfn.AGGREGATE(15, 6,
                    (ROW($1:$345))/(ISNUMBER(SEARCH('[1]Dettaglio pacchetti'!$AB$1:$AB$530, $C23))),
                    1)
            ) &amp; "*",
            '[1]Dettaglio pacchetti'!$A$1:$I$530,
            4,
            FALSE
        ),
        IFERROR(VLOOKUP($C23, '[1]Dettaglio pacchetti'!$A$1:$I$530, 4, FALSE), "")
    )
)</f>
        <v>Rilascio Quadient</v>
      </c>
      <c r="G23" s="14" t="str" cm="1">
        <f t="array" ref="G23">IF(TRIM($B23)="DW01A", "EDW - Estrattori",
    IF(TRIM($B23)="SG-ANAGRAFE", "SIGEA Anagrafe",
        IFERROR(
            VLOOKUP(
                INDEX('[1]Dettaglio pacchetti'!$AB$1:$AB$530,
                    _xlfn.AGGREGATE(15, 6,
                        (ROW($1:$345))/(ISNUMBER(SEARCH('[1]Dettaglio pacchetti'!$AB$1:$AB$530, $C23))),
                        1)
                ) &amp; "*",
                '[1]Dettaglio pacchetti'!$A$1:$I$530,
                5,
                FALSE
            ),
            IFERROR(VLOOKUP($C23, '[1]Dettaglio pacchetti'!$A$1:$I$530, 5, FALSE), "")
        )
    )
)</f>
        <v>Quadient</v>
      </c>
      <c r="H23" s="14"/>
      <c r="I23" s="7" t="str">
        <f t="shared" si="0"/>
        <v>X_PROD</v>
      </c>
      <c r="J23" t="str">
        <f t="shared" si="1"/>
        <v>it.ites.quadient</v>
      </c>
      <c r="K23" s="4" t="str">
        <f t="shared" si="2"/>
        <v/>
      </c>
      <c r="L23" s="14" t="str" cm="1">
        <f t="array" ref="L23">IFERROR(
    VLOOKUP(
        INDEX('[1]Dettaglio pacchetti'!$AB$1:$AB$530,
            _xlfn.AGGREGATE(15, 6,
                ROW($1:$345)/(ISNUMBER(SEARCH('[1]Dettaglio pacchetti'!$AB$1:$AB$530, $C23))),
                1)
        ) &amp; "*",
        '[1]Dettaglio pacchetti'!$A$1:$I$530,
        8,
        FALSE
    ),
    IFERROR(VLOOKUP($C23, '[1]Dettaglio pacchetti'!$A$1:$I$530, 8, FALSE), "")
)</f>
        <v>6.00</v>
      </c>
      <c r="M23" s="14" t="str" cm="1">
        <f t="array" ref="M23">IFERROR(
    VLOOKUP(
        INDEX('[1]Dettaglio pacchetti'!$AB$1:$AB$530,
            _xlfn.AGGREGATE(15, 6,
                ROW($1:$345)/(ISNUMBER(SEARCH('[1]Dettaglio pacchetti'!$AB$1:$AB$530, $C23))),
                1)
        ) &amp; "*",
        '[1]Dettaglio pacchetti'!$A$1:$I$530,
        9,
        FALSE
    ),
    IFERROR(VLOOKUP($C23, '[1]Dettaglio pacchetti'!$A$1:$I$530, 9, FALSE), "")
)</f>
        <v>ear</v>
      </c>
      <c r="N23" s="38"/>
      <c r="O23" s="6" t="s">
        <v>15</v>
      </c>
      <c r="P23" s="6" t="s">
        <v>15</v>
      </c>
      <c r="AA23" t="str" cm="1">
        <f t="array" ref="AA23">IFERROR(VLOOKUP(INDEX('[1]Dettaglio pacchetti'!$AB$1:$AB$530, _xlfn.AGGREGATE(15, 6, (ROW($1:$345))/(ISNUMBER(SEARCH('[1]Dettaglio pacchetti'!$AB$1:$AB$530, $C23))), 1)) &amp; "*", '[1]Dettaglio pacchetti'!$A$1:$N$530, 13, FALSE) &amp; "", "")</f>
        <v>https://dev.azure.com/realeitesorg/it.ites.quadient/_build?definitionId=651</v>
      </c>
      <c r="AB23" t="str" cm="1">
        <f t="array" ref="AB23">IF(ISNUMBER(SEARCH("dev.azure.com", AA23)), IFERROR(VLOOKUP(INDEX('[1]Dettaglio pacchetti'!$AB$1:$AB$530, _xlfn.AGGREGATE(15, 6, (ROW($1:$345))/(ISNUMBER(SEARCH('[1]Dettaglio pacchetti'!$AB$1:$AB$530, $C23))), 1)) &amp; "*", '[1]Dettaglio pacchetti'!$A$1:$N$530, 1, FALSE) &amp; "", ""), "")</f>
        <v>X_PROD</v>
      </c>
      <c r="AC23" t="str" cm="1">
        <f t="array" ref="AC23">IFERROR(
    VLOOKUP(
        INDEX('[1]Dettaglio pacchetti'!$AB$1:$AB$530, _xlfn.AGGREGATE(15,6,ROW($1:$345)/(ISNUMBER(SEARCH('[1]Dettaglio pacchetti'!$AB$1:$AB$530,$C23))),1)) &amp; "*",
        '[1]Dettaglio pacchetti'!$A$1:$I$530,
        7,
        FALSE
    ),
    IFERROR(VLOOKUP($C23, '[1]Dettaglio pacchetti'!$A$1:$I$530, 7, FALSE), "")
)</f>
        <v>it.ites.quadient</v>
      </c>
      <c r="AD23" t="str" cm="1">
        <f t="array" ref="AD23">IFERROR(
    VLOOKUP(
        INDEX('[1]Dettaglio pacchetti'!$AB$1:$AB$530, _xlfn.AGGREGATE(15,6,ROW($1:$345)/(ISNUMBER(SEARCH('[1]Dettaglio pacchetti'!$AB$1:$AB$530,$C23))),1)) &amp; "*",
        '[1]Dettaglio pacchetti'!$A$1:$I$530,
        6,
        FALSE
    ),
    IFERROR(VLOOKUP($C23, '[1]Dettaglio pacchetti'!$A$1:$I$530, 6, FALSE), "")
)</f>
        <v>Azure Devops</v>
      </c>
    </row>
    <row r="24" spans="2:31" s="4" customFormat="1" ht="14.85" customHeight="1" x14ac:dyDescent="0.3">
      <c r="B24" s="17"/>
      <c r="C24" s="62" t="s">
        <v>377</v>
      </c>
      <c r="D24" s="14" t="str" cm="1">
        <f t="array" ref="D24">IFERROR(
    _xlfn.LET(
        _xlpm.risultato,
        IFERROR(
            _xlfn.XLOOKUP(TRIM(UPPER(G24)),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pacchetti'!$E$1:$E$530))=TRIM(UPPER(G24)),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24" s="14" t="str" cm="1">
        <f t="array" ref="E24">IF(TRIM($B24)="SG-ANAGRAFE", "Bugni Batte",
    IF(TRIM($B24)="DW01A", "Cauda",
        IFERROR(
            VLOOKUP(
                INDEX('[1]Dettaglio pacchetti'!$AB$1:$AB$530,
                    _xlfn.AGGREGATE(15, 6,
                        (ROW($1:$345))/(ISNUMBER(SEARCH('[1]Dettaglio pacchetti'!$AB$1:$AB$530, $C24))),
                        1)
                ) &amp; "*",
                '[1]Dettaglio pacchetti'!$A$1:$I$530,
                3,
                FALSE
            ),
            IFERROR(VLOOKUP($C24, '[1]Dettaglio pacchetti'!$A$1:$I$530, 3, FALSE), "")
        )
    )
)</f>
        <v>Rocca</v>
      </c>
      <c r="F24" s="14" t="str" cm="1">
        <f t="array" ref="F24">IF(TRIM($B24)="DW01A", "Rilascio  EDW Estrattori",
    IFERROR(
        VLOOKUP(
            INDEX('[1]Dettaglio pacchetti'!$AB$1:$AB$530,
                _xlfn.AGGREGATE(15, 6,
                    (ROW($1:$345))/(ISNUMBER(SEARCH('[1]Dettaglio pacchetti'!$AB$1:$AB$530, $C24))),
                    1)
            ) &amp; "*",
            '[1]Dettaglio pacchetti'!$A$1:$I$530,
            4,
            FALSE
        ),
        IFERROR(VLOOKUP($C24, '[1]Dettaglio pacchetti'!$A$1:$I$530, 4, FALSE), "")
    )
)</f>
        <v>Rilascio Quadient</v>
      </c>
      <c r="G24" s="14" t="str" cm="1">
        <f t="array" ref="G24">IF(TRIM($B24)="DW01A", "EDW - Estrattori",
    IF(TRIM($B24)="SG-ANAGRAFE", "SIGEA Anagrafe",
        IFERROR(
            VLOOKUP(
                INDEX('[1]Dettaglio pacchetti'!$AB$1:$AB$530,
                    _xlfn.AGGREGATE(15, 6,
                        (ROW($1:$345))/(ISNUMBER(SEARCH('[1]Dettaglio pacchetti'!$AB$1:$AB$530, $C24))),
                        1)
                ) &amp; "*",
                '[1]Dettaglio pacchetti'!$A$1:$I$530,
                5,
                FALSE
            ),
            IFERROR(VLOOKUP($C24, '[1]Dettaglio pacchetti'!$A$1:$I$530, 5, FALSE), "")
        )
    )
)</f>
        <v>Quadient</v>
      </c>
      <c r="H24" s="14"/>
      <c r="I24" s="7" t="str">
        <f t="shared" si="0"/>
        <v>X_PROD</v>
      </c>
      <c r="J24" t="str">
        <f t="shared" si="1"/>
        <v>it.ites.quadient</v>
      </c>
      <c r="K24" t="str">
        <f t="shared" si="2"/>
        <v/>
      </c>
      <c r="L24" s="14" t="str" cm="1">
        <f t="array" ref="L24">IFERROR(
    VLOOKUP(
        INDEX('[1]Dettaglio pacchetti'!$AB$1:$AB$530,
            _xlfn.AGGREGATE(15, 6,
                ROW($1:$345)/(ISNUMBER(SEARCH('[1]Dettaglio pacchetti'!$AB$1:$AB$530, $C24))),
                1)
        ) &amp; "*",
        '[1]Dettaglio pacchetti'!$A$1:$I$530,
        8,
        FALSE
    ),
    IFERROR(VLOOKUP($C24, '[1]Dettaglio pacchetti'!$A$1:$I$530, 8, FALSE), "")
)</f>
        <v>6.00</v>
      </c>
      <c r="M24" s="14" t="str" cm="1">
        <f t="array" ref="M24">IFERROR(
    VLOOKUP(
        INDEX('[1]Dettaglio pacchetti'!$AB$1:$AB$530,
            _xlfn.AGGREGATE(15, 6,
                ROW($1:$345)/(ISNUMBER(SEARCH('[1]Dettaglio pacchetti'!$AB$1:$AB$530, $C24))),
                1)
        ) &amp; "*",
        '[1]Dettaglio pacchetti'!$A$1:$I$530,
        9,
        FALSE
    ),
    IFERROR(VLOOKUP($C24, '[1]Dettaglio pacchetti'!$A$1:$I$530, 9, FALSE), "")
)</f>
        <v>ear</v>
      </c>
      <c r="N24" s="7"/>
      <c r="O24" s="6" t="s">
        <v>15</v>
      </c>
      <c r="P24" s="6" t="s">
        <v>15</v>
      </c>
      <c r="AA24" t="str" cm="1">
        <f t="array" ref="AA24">IFERROR(VLOOKUP(INDEX('[1]Dettaglio pacchetti'!$AB$1:$AB$530, _xlfn.AGGREGATE(15, 6, (ROW($1:$345))/(ISNUMBER(SEARCH('[1]Dettaglio pacchetti'!$AB$1:$AB$530, $C24))), 1)) &amp; "*", '[1]Dettaglio pacchetti'!$A$1:$N$530, 13, FALSE) &amp; "", "")</f>
        <v>https://dev.azure.com/realeitesorg/it.ites.quadient/_build?definitionId=651</v>
      </c>
      <c r="AB24" t="str" cm="1">
        <f t="array" ref="AB24">IF(ISNUMBER(SEARCH("dev.azure.com", AA24)), IFERROR(VLOOKUP(INDEX('[1]Dettaglio pacchetti'!$AB$1:$AB$530, _xlfn.AGGREGATE(15, 6, (ROW($1:$345))/(ISNUMBER(SEARCH('[1]Dettaglio pacchetti'!$AB$1:$AB$530, $C24))), 1)) &amp; "*", '[1]Dettaglio pacchetti'!$A$1:$N$530, 1, FALSE) &amp; "", ""), "")</f>
        <v>X_PROD</v>
      </c>
      <c r="AC24" t="str" cm="1">
        <f t="array" ref="AC24">IFERROR(
    VLOOKUP(
        INDEX('[1]Dettaglio pacchetti'!$AB$1:$AB$530, _xlfn.AGGREGATE(15,6,ROW($1:$345)/(ISNUMBER(SEARCH('[1]Dettaglio pacchetti'!$AB$1:$AB$530,$C24))),1)) &amp; "*",
        '[1]Dettaglio pacchetti'!$A$1:$I$530,
        7,
        FALSE
    ),
    IFERROR(VLOOKUP($C24, '[1]Dettaglio pacchetti'!$A$1:$I$530, 7, FALSE), "")
)</f>
        <v>it.ites.quadient</v>
      </c>
      <c r="AD24" t="str" cm="1">
        <f t="array" ref="AD24">IFERROR(
    VLOOKUP(
        INDEX('[1]Dettaglio pacchetti'!$AB$1:$AB$530, _xlfn.AGGREGATE(15,6,ROW($1:$345)/(ISNUMBER(SEARCH('[1]Dettaglio pacchetti'!$AB$1:$AB$530,$C24))),1)) &amp; "*",
        '[1]Dettaglio pacchetti'!$A$1:$I$530,
        6,
        FALSE
    ),
    IFERROR(VLOOKUP($C24, '[1]Dettaglio pacchetti'!$A$1:$I$530, 6, FALSE), "")
)</f>
        <v>Azure Devops</v>
      </c>
      <c r="AE24"/>
    </row>
    <row r="25" spans="2:31" s="4" customFormat="1" ht="14.85" customHeight="1" x14ac:dyDescent="0.3">
      <c r="B25" s="17"/>
      <c r="C25" s="62" t="s">
        <v>378</v>
      </c>
      <c r="D25" s="14" t="str" cm="1">
        <f t="array" ref="D25">IFERROR(
    _xlfn.LET(
        _xlpm.risultato,
        IFERROR(
            _xlfn.XLOOKUP(TRIM(UPPER(G25)),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pacchetti'!$E$1:$E$530))=TRIM(UPPER(G25)),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25" s="14" t="str" cm="1">
        <f t="array" ref="E25">IF(TRIM($B25)="SG-ANAGRAFE", "Bugni Batte",
    IF(TRIM($B25)="DW01A", "Cauda",
        IFERROR(
            VLOOKUP(
                INDEX('[1]Dettaglio pacchetti'!$AB$1:$AB$530,
                    _xlfn.AGGREGATE(15, 6,
                        (ROW($1:$345))/(ISNUMBER(SEARCH('[1]Dettaglio pacchetti'!$AB$1:$AB$530, $C25))),
                        1)
                ) &amp; "*",
                '[1]Dettaglio pacchetti'!$A$1:$I$530,
                3,
                FALSE
            ),
            IFERROR(VLOOKUP($C25, '[1]Dettaglio pacchetti'!$A$1:$I$530, 3, FALSE), "")
        )
    )
)</f>
        <v>Rocca</v>
      </c>
      <c r="F25" s="14" t="str" cm="1">
        <f t="array" ref="F25">IF(TRIM($B25)="DW01A", "Rilascio  EDW Estrattori",
    IFERROR(
        VLOOKUP(
            INDEX('[1]Dettaglio pacchetti'!$AB$1:$AB$530,
                _xlfn.AGGREGATE(15, 6,
                    (ROW($1:$345))/(ISNUMBER(SEARCH('[1]Dettaglio pacchetti'!$AB$1:$AB$530, $C25))),
                    1)
            ) &amp; "*",
            '[1]Dettaglio pacchetti'!$A$1:$I$530,
            4,
            FALSE
        ),
        IFERROR(VLOOKUP($C25, '[1]Dettaglio pacchetti'!$A$1:$I$530, 4, FALSE), "")
    )
)</f>
        <v>Rilascio Quadient</v>
      </c>
      <c r="G25" s="14" t="str" cm="1">
        <f t="array" ref="G25">IF(TRIM($B25)="DW01A", "EDW - Estrattori",
    IF(TRIM($B25)="SG-ANAGRAFE", "SIGEA Anagrafe",
        IFERROR(
            VLOOKUP(
                INDEX('[1]Dettaglio pacchetti'!$AB$1:$AB$530,
                    _xlfn.AGGREGATE(15, 6,
                        (ROW($1:$345))/(ISNUMBER(SEARCH('[1]Dettaglio pacchetti'!$AB$1:$AB$530, $C25))),
                        1)
                ) &amp; "*",
                '[1]Dettaglio pacchetti'!$A$1:$I$530,
                5,
                FALSE
            ),
            IFERROR(VLOOKUP($C25, '[1]Dettaglio pacchetti'!$A$1:$I$530, 5, FALSE), "")
        )
    )
)</f>
        <v>Quadient</v>
      </c>
      <c r="H25" s="14"/>
      <c r="I25" s="7" t="str">
        <f t="shared" si="0"/>
        <v>X_PROD</v>
      </c>
      <c r="J25" t="str">
        <f t="shared" si="1"/>
        <v>it.ites.quadient</v>
      </c>
      <c r="K25" t="str">
        <f t="shared" si="2"/>
        <v/>
      </c>
      <c r="L25" s="14" t="str" cm="1">
        <f t="array" ref="L25">IFERROR(
    VLOOKUP(
        INDEX('[1]Dettaglio pacchetti'!$AB$1:$AB$530,
            _xlfn.AGGREGATE(15, 6,
                ROW($1:$345)/(ISNUMBER(SEARCH('[1]Dettaglio pacchetti'!$AB$1:$AB$530, $C25))),
                1)
        ) &amp; "*",
        '[1]Dettaglio pacchetti'!$A$1:$I$530,
        8,
        FALSE
    ),
    IFERROR(VLOOKUP($C25, '[1]Dettaglio pacchetti'!$A$1:$I$530, 8, FALSE), "")
)</f>
        <v>6.00</v>
      </c>
      <c r="M25" s="14" t="str" cm="1">
        <f t="array" ref="M25">IFERROR(
    VLOOKUP(
        INDEX('[1]Dettaglio pacchetti'!$AB$1:$AB$530,
            _xlfn.AGGREGATE(15, 6,
                ROW($1:$345)/(ISNUMBER(SEARCH('[1]Dettaglio pacchetti'!$AB$1:$AB$530, $C25))),
                1)
        ) &amp; "*",
        '[1]Dettaglio pacchetti'!$A$1:$I$530,
        9,
        FALSE
    ),
    IFERROR(VLOOKUP($C25, '[1]Dettaglio pacchetti'!$A$1:$I$530, 9, FALSE), "")
)</f>
        <v>ear</v>
      </c>
      <c r="N25" s="7"/>
      <c r="O25" s="6" t="s">
        <v>15</v>
      </c>
      <c r="P25" s="6" t="s">
        <v>15</v>
      </c>
      <c r="AA25" t="str" cm="1">
        <f t="array" ref="AA25">IFERROR(VLOOKUP(INDEX('[1]Dettaglio pacchetti'!$AB$1:$AB$530, _xlfn.AGGREGATE(15, 6, (ROW($1:$345))/(ISNUMBER(SEARCH('[1]Dettaglio pacchetti'!$AB$1:$AB$530, $C25))), 1)) &amp; "*", '[1]Dettaglio pacchetti'!$A$1:$N$530, 13, FALSE) &amp; "", "")</f>
        <v>https://dev.azure.com/realeitesorg/it.ites.quadient/_build?definitionId=651</v>
      </c>
      <c r="AB25" t="str" cm="1">
        <f t="array" ref="AB25">IF(ISNUMBER(SEARCH("dev.azure.com", AA25)), IFERROR(VLOOKUP(INDEX('[1]Dettaglio pacchetti'!$AB$1:$AB$530, _xlfn.AGGREGATE(15, 6, (ROW($1:$345))/(ISNUMBER(SEARCH('[1]Dettaglio pacchetti'!$AB$1:$AB$530, $C25))), 1)) &amp; "*", '[1]Dettaglio pacchetti'!$A$1:$N$530, 1, FALSE) &amp; "", ""), "")</f>
        <v>X_PROD</v>
      </c>
      <c r="AC25" t="str" cm="1">
        <f t="array" ref="AC25">IFERROR(
    VLOOKUP(
        INDEX('[1]Dettaglio pacchetti'!$AB$1:$AB$530, _xlfn.AGGREGATE(15,6,ROW($1:$345)/(ISNUMBER(SEARCH('[1]Dettaglio pacchetti'!$AB$1:$AB$530,$C25))),1)) &amp; "*",
        '[1]Dettaglio pacchetti'!$A$1:$I$530,
        7,
        FALSE
    ),
    IFERROR(VLOOKUP($C25, '[1]Dettaglio pacchetti'!$A$1:$I$530, 7, FALSE), "")
)</f>
        <v>it.ites.quadient</v>
      </c>
      <c r="AD25" t="str" cm="1">
        <f t="array" ref="AD25">IFERROR(
    VLOOKUP(
        INDEX('[1]Dettaglio pacchetti'!$AB$1:$AB$530, _xlfn.AGGREGATE(15,6,ROW($1:$345)/(ISNUMBER(SEARCH('[1]Dettaglio pacchetti'!$AB$1:$AB$530,$C25))),1)) &amp; "*",
        '[1]Dettaglio pacchetti'!$A$1:$I$530,
        6,
        FALSE
    ),
    IFERROR(VLOOKUP($C25, '[1]Dettaglio pacchetti'!$A$1:$I$530, 6, FALSE), "")
)</f>
        <v>Azure Devops</v>
      </c>
      <c r="AE25"/>
    </row>
    <row r="26" spans="2:31" s="4" customFormat="1" ht="14.85" customHeight="1" x14ac:dyDescent="0.3">
      <c r="B26" s="17"/>
      <c r="C26" s="62" t="s">
        <v>379</v>
      </c>
      <c r="D26" s="14" t="str" cm="1">
        <f t="array" ref="D26">IFERROR(
    _xlfn.LET(
        _xlpm.risultato,
        IFERROR(
            _xlfn.XLOOKUP(TRIM(UPPER(G26)),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pacchetti'!$E$1:$E$530))=TRIM(UPPER(G26)),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26" s="14" t="str" cm="1">
        <f t="array" ref="E26">IF(TRIM($B26)="SG-ANAGRAFE", "Bugni Batte",
    IF(TRIM($B26)="DW01A", "Cauda",
        IFERROR(
            VLOOKUP(
                INDEX('[1]Dettaglio pacchetti'!$AB$1:$AB$530,
                    _xlfn.AGGREGATE(15, 6,
                        (ROW($1:$345))/(ISNUMBER(SEARCH('[1]Dettaglio pacchetti'!$AB$1:$AB$530, $C26))),
                        1)
                ) &amp; "*",
                '[1]Dettaglio pacchetti'!$A$1:$I$530,
                3,
                FALSE
            ),
            IFERROR(VLOOKUP($C26, '[1]Dettaglio pacchetti'!$A$1:$I$530, 3, FALSE), "")
        )
    )
)</f>
        <v>Rocca</v>
      </c>
      <c r="F26" s="14" t="str" cm="1">
        <f t="array" ref="F26">IF(TRIM($B26)="DW01A", "Rilascio  EDW Estrattori",
    IFERROR(
        VLOOKUP(
            INDEX('[1]Dettaglio pacchetti'!$AB$1:$AB$530,
                _xlfn.AGGREGATE(15, 6,
                    (ROW($1:$345))/(ISNUMBER(SEARCH('[1]Dettaglio pacchetti'!$AB$1:$AB$530, $C26))),
                    1)
            ) &amp; "*",
            '[1]Dettaglio pacchetti'!$A$1:$I$530,
            4,
            FALSE
        ),
        IFERROR(VLOOKUP($C26, '[1]Dettaglio pacchetti'!$A$1:$I$530, 4, FALSE), "")
    )
)</f>
        <v>Rilascio Quadient</v>
      </c>
      <c r="G26" s="14" t="str" cm="1">
        <f t="array" ref="G26">IF(TRIM($B26)="DW01A", "EDW - Estrattori",
    IF(TRIM($B26)="SG-ANAGRAFE", "SIGEA Anagrafe",
        IFERROR(
            VLOOKUP(
                INDEX('[1]Dettaglio pacchetti'!$AB$1:$AB$530,
                    _xlfn.AGGREGATE(15, 6,
                        (ROW($1:$345))/(ISNUMBER(SEARCH('[1]Dettaglio pacchetti'!$AB$1:$AB$530, $C26))),
                        1)
                ) &amp; "*",
                '[1]Dettaglio pacchetti'!$A$1:$I$530,
                5,
                FALSE
            ),
            IFERROR(VLOOKUP($C26, '[1]Dettaglio pacchetti'!$A$1:$I$530, 5, FALSE), "")
        )
    )
)</f>
        <v>Quadient</v>
      </c>
      <c r="H26" s="14"/>
      <c r="I26" s="7" t="str">
        <f t="shared" si="0"/>
        <v>X_PROD</v>
      </c>
      <c r="J26" t="str">
        <f t="shared" si="1"/>
        <v>it.ites.quadient</v>
      </c>
      <c r="K26" t="str">
        <f t="shared" si="2"/>
        <v/>
      </c>
      <c r="L26" s="14" t="str" cm="1">
        <f t="array" ref="L26">IFERROR(
    VLOOKUP(
        INDEX('[1]Dettaglio pacchetti'!$AB$1:$AB$530,
            _xlfn.AGGREGATE(15, 6,
                ROW($1:$345)/(ISNUMBER(SEARCH('[1]Dettaglio pacchetti'!$AB$1:$AB$530, $C26))),
                1)
        ) &amp; "*",
        '[1]Dettaglio pacchetti'!$A$1:$I$530,
        8,
        FALSE
    ),
    IFERROR(VLOOKUP($C26, '[1]Dettaglio pacchetti'!$A$1:$I$530, 8, FALSE), "")
)</f>
        <v>6.00</v>
      </c>
      <c r="M26" s="14" t="str" cm="1">
        <f t="array" ref="M26">IFERROR(
    VLOOKUP(
        INDEX('[1]Dettaglio pacchetti'!$AB$1:$AB$530,
            _xlfn.AGGREGATE(15, 6,
                ROW($1:$345)/(ISNUMBER(SEARCH('[1]Dettaglio pacchetti'!$AB$1:$AB$530, $C26))),
                1)
        ) &amp; "*",
        '[1]Dettaglio pacchetti'!$A$1:$I$530,
        9,
        FALSE
    ),
    IFERROR(VLOOKUP($C26, '[1]Dettaglio pacchetti'!$A$1:$I$530, 9, FALSE), "")
)</f>
        <v>ear</v>
      </c>
      <c r="N26" s="7"/>
      <c r="O26" s="6" t="s">
        <v>15</v>
      </c>
      <c r="P26" s="6" t="s">
        <v>15</v>
      </c>
      <c r="AA26" t="str" cm="1">
        <f t="array" ref="AA26">IFERROR(VLOOKUP(INDEX('[1]Dettaglio pacchetti'!$AB$1:$AB$530, _xlfn.AGGREGATE(15, 6, (ROW($1:$345))/(ISNUMBER(SEARCH('[1]Dettaglio pacchetti'!$AB$1:$AB$530, $C26))), 1)) &amp; "*", '[1]Dettaglio pacchetti'!$A$1:$N$530, 13, FALSE) &amp; "", "")</f>
        <v>https://dev.azure.com/realeitesorg/it.ites.quadient/_build?definitionId=651</v>
      </c>
      <c r="AB26" t="str" cm="1">
        <f t="array" ref="AB26">IF(ISNUMBER(SEARCH("dev.azure.com", AA26)), IFERROR(VLOOKUP(INDEX('[1]Dettaglio pacchetti'!$AB$1:$AB$530, _xlfn.AGGREGATE(15, 6, (ROW($1:$345))/(ISNUMBER(SEARCH('[1]Dettaglio pacchetti'!$AB$1:$AB$530, $C26))), 1)) &amp; "*", '[1]Dettaglio pacchetti'!$A$1:$N$530, 1, FALSE) &amp; "", ""), "")</f>
        <v>X_PROD</v>
      </c>
      <c r="AC26" t="str" cm="1">
        <f t="array" ref="AC26">IFERROR(
    VLOOKUP(
        INDEX('[1]Dettaglio pacchetti'!$AB$1:$AB$530, _xlfn.AGGREGATE(15,6,ROW($1:$345)/(ISNUMBER(SEARCH('[1]Dettaglio pacchetti'!$AB$1:$AB$530,$C26))),1)) &amp; "*",
        '[1]Dettaglio pacchetti'!$A$1:$I$530,
        7,
        FALSE
    ),
    IFERROR(VLOOKUP($C26, '[1]Dettaglio pacchetti'!$A$1:$I$530, 7, FALSE), "")
)</f>
        <v>it.ites.quadient</v>
      </c>
      <c r="AD26" t="str" cm="1">
        <f t="array" ref="AD26">IFERROR(
    VLOOKUP(
        INDEX('[1]Dettaglio pacchetti'!$AB$1:$AB$530, _xlfn.AGGREGATE(15,6,ROW($1:$345)/(ISNUMBER(SEARCH('[1]Dettaglio pacchetti'!$AB$1:$AB$530,$C26))),1)) &amp; "*",
        '[1]Dettaglio pacchetti'!$A$1:$I$530,
        6,
        FALSE
    ),
    IFERROR(VLOOKUP($C26, '[1]Dettaglio pacchetti'!$A$1:$I$530, 6, FALSE), "")
)</f>
        <v>Azure Devops</v>
      </c>
      <c r="AE26"/>
    </row>
    <row r="27" spans="2:31" s="4" customFormat="1" ht="14.85" customHeight="1" x14ac:dyDescent="0.3">
      <c r="B27" s="17"/>
      <c r="C27" s="64" t="s">
        <v>380</v>
      </c>
      <c r="D27" s="14" t="str" cm="1">
        <f t="array" ref="D27">IFERROR(
    _xlfn.LET(
        _xlpm.risultato,
        IFERROR(
            _xlfn.XLOOKUP(TRIM(UPPER(G27)),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pacchetti'!$E$1:$E$530))=TRIM(UPPER(G27)),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>C20260820_0046</v>
      </c>
      <c r="E27" s="14" t="str" cm="1">
        <f t="array" ref="E27">IF(TRIM($B27)="SG-ANAGRAFE", "Bugni Batte",
    IF(TRIM($B27)="DW01A", "Cauda",
        IFERROR(
            VLOOKUP(
                INDEX('[1]Dettaglio pacchetti'!$AB$1:$AB$530,
                    _xlfn.AGGREGATE(15, 6,
                        (ROW($1:$345))/(ISNUMBER(SEARCH('[1]Dettaglio pacchetti'!$AB$1:$AB$530, $C27))),
                        1)
                ) &amp; "*",
                '[1]Dettaglio pacchetti'!$A$1:$I$530,
                3,
                FALSE
            ),
            IFERROR(VLOOKUP($C27, '[1]Dettaglio pacchetti'!$A$1:$I$530, 3, FALSE), "")
        )
    )
)</f>
        <v>Treno Danni</v>
      </c>
      <c r="F27" s="14" t="str" cm="1">
        <f t="array" ref="F27">IF(TRIM($B27)="DW01A", "Rilascio  EDW Estrattori",
    IFERROR(
        VLOOKUP(
            INDEX('[1]Dettaglio pacchetti'!$AB$1:$AB$530,
                _xlfn.AGGREGATE(15, 6,
                    (ROW($1:$345))/(ISNUMBER(SEARCH('[1]Dettaglio pacchetti'!$AB$1:$AB$530, $C27))),
                    1)
            ) &amp; "*",
            '[1]Dettaglio pacchetti'!$A$1:$I$530,
            4,
            FALSE
        ),
        IFERROR(VLOOKUP($C27, '[1]Dettaglio pacchetti'!$A$1:$I$530, 4, FALSE), "")
    )
)</f>
        <v>Rilascio Multicanalità Mobile MCPMOB</v>
      </c>
      <c r="G27" s="14" t="str" cm="1">
        <f t="array" ref="G27">IF(TRIM($B27)="DW01A", "EDW - Estrattori",
    IF(TRIM($B27)="SG-ANAGRAFE", "SIGEA Anagrafe",
        IFERROR(
            VLOOKUP(
                INDEX('[1]Dettaglio pacchetti'!$AB$1:$AB$530,
                    _xlfn.AGGREGATE(15, 6,
                        (ROW($1:$345))/(ISNUMBER(SEARCH('[1]Dettaglio pacchetti'!$AB$1:$AB$530, $C27))),
                        1)
                ) &amp; "*",
                '[1]Dettaglio pacchetti'!$A$1:$I$530,
                5,
                FALSE
            ),
            IFERROR(VLOOKUP($C27, '[1]Dettaglio pacchetti'!$A$1:$I$530, 5, FALSE), "")
        )
    )
)</f>
        <v>Multicanalità - Mobile</v>
      </c>
      <c r="H27" s="14"/>
      <c r="I27" s="7" t="str">
        <f t="shared" si="0"/>
        <v>mobile_EVOLUTIVA</v>
      </c>
      <c r="J27" t="str">
        <f t="shared" si="1"/>
        <v>it.grma.rdna</v>
      </c>
      <c r="K27" t="str">
        <f t="shared" si="2"/>
        <v/>
      </c>
      <c r="L27" s="14" t="str" cm="1">
        <f t="array" ref="L27">IFERROR(
    VLOOKUP(
        INDEX('[1]Dettaglio pacchetti'!$AB$1:$AB$530,
            _xlfn.AGGREGATE(15, 6,
                ROW($1:$345)/(ISNUMBER(SEARCH('[1]Dettaglio pacchetti'!$AB$1:$AB$530, $C27))),
                1)
        ) &amp; "*",
        '[1]Dettaglio pacchetti'!$A$1:$I$530,
        8,
        FALSE
    ),
    IFERROR(VLOOKUP($C27, '[1]Dettaglio pacchetti'!$A$1:$I$530, 8, FALSE), "")
)</f>
        <v>23.00</v>
      </c>
      <c r="M27" s="14" t="str" cm="1">
        <f t="array" ref="M27">IFERROR(
    VLOOKUP(
        INDEX('[1]Dettaglio pacchetti'!$AB$1:$AB$530,
            _xlfn.AGGREGATE(15, 6,
                ROW($1:$345)/(ISNUMBER(SEARCH('[1]Dettaglio pacchetti'!$AB$1:$AB$530, $C27))),
                1)
        ) &amp; "*",
        '[1]Dettaglio pacchetti'!$A$1:$I$530,
        9,
        FALSE
    ),
    IFERROR(VLOOKUP($C27, '[1]Dettaglio pacchetti'!$A$1:$I$530, 9, FALSE), "")
)</f>
        <v>ear</v>
      </c>
      <c r="N27" s="7"/>
      <c r="O27" s="6" t="s">
        <v>15</v>
      </c>
      <c r="P27" s="6" t="s">
        <v>27</v>
      </c>
      <c r="AA27" t="str" cm="1">
        <f t="array" ref="AA27">IFERROR(VLOOKUP(INDEX('[1]Dettaglio pacchetti'!$AB$1:$AB$530, _xlfn.AGGREGATE(15, 6, (ROW($1:$345))/(ISNUMBER(SEARCH('[1]Dettaglio pacchetti'!$AB$1:$AB$530, $C27))), 1)) &amp; "*", '[1]Dettaglio pacchetti'!$A$1:$N$530, 13, FALSE) &amp; "", "")</f>
        <v>https://dev.azure.com/realeitesorg/it.grma.rdna/_build?definitionId=2904</v>
      </c>
      <c r="AB27" t="str" cm="1">
        <f t="array" ref="AB27">IF(ISNUMBER(SEARCH("dev.azure.com", AA27)), IFERROR(VLOOKUP(INDEX('[1]Dettaglio pacchetti'!$AB$1:$AB$530, _xlfn.AGGREGATE(15, 6, (ROW($1:$345))/(ISNUMBER(SEARCH('[1]Dettaglio pacchetti'!$AB$1:$AB$530, $C27))), 1)) &amp; "*", '[1]Dettaglio pacchetti'!$A$1:$N$530, 1, FALSE) &amp; "", ""), "")</f>
        <v>mobile_EVOLUTIVA</v>
      </c>
      <c r="AC27" t="str" cm="1">
        <f t="array" ref="AC27">IFERROR(
    VLOOKUP(
        INDEX('[1]Dettaglio pacchetti'!$AB$1:$AB$530, _xlfn.AGGREGATE(15,6,ROW($1:$345)/(ISNUMBER(SEARCH('[1]Dettaglio pacchetti'!$AB$1:$AB$530,$C27))),1)) &amp; "*",
        '[1]Dettaglio pacchetti'!$A$1:$I$530,
        7,
        FALSE
    ),
    IFERROR(VLOOKUP($C27, '[1]Dettaglio pacchetti'!$A$1:$I$530, 7, FALSE), "")
)</f>
        <v>it.grma.rdna</v>
      </c>
      <c r="AD27" t="str" cm="1">
        <f t="array" ref="AD27">IFERROR(
    VLOOKUP(
        INDEX('[1]Dettaglio pacchetti'!$AB$1:$AB$530, _xlfn.AGGREGATE(15,6,ROW($1:$345)/(ISNUMBER(SEARCH('[1]Dettaglio pacchetti'!$AB$1:$AB$530,$C27))),1)) &amp; "*",
        '[1]Dettaglio pacchetti'!$A$1:$I$530,
        6,
        FALSE
    ),
    IFERROR(VLOOKUP($C27, '[1]Dettaglio pacchetti'!$A$1:$I$530, 6, FALSE), "")
)</f>
        <v>Azure Devops</v>
      </c>
      <c r="AE27"/>
    </row>
    <row r="28" spans="2:31" s="4" customFormat="1" ht="14.85" customHeight="1" x14ac:dyDescent="0.3">
      <c r="B28" s="17"/>
      <c r="C28" s="60"/>
      <c r="D28" s="14" t="str" cm="1">
        <f t="array" ref="D28">IFERROR(
    _xlfn.LET(
        _xlpm.risultato,
        IFERROR(
            _xlfn.XLOOKUP(TRIM(UPPER(G28)),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pacchetti'!$E$1:$E$530))=TRIM(UPPER(G28)),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28" s="14" t="str" cm="1">
        <f t="array" ref="E28">IF(TRIM($B28)="SG-ANAGRAFE", "Bugni Batte",
    IF(TRIM($B28)="DW01A", "Cauda",
        IFERROR(
            VLOOKUP(
                INDEX('[1]Dettaglio pacchetti'!$AB$1:$AB$530,
                    _xlfn.AGGREGATE(15, 6,
                        (ROW($1:$345))/(ISNUMBER(SEARCH('[1]Dettaglio pacchetti'!$AB$1:$AB$530, $C28))),
                        1)
                ) &amp; "*",
                '[1]Dettaglio pacchetti'!$A$1:$I$530,
                3,
                FALSE
            ),
            IFERROR(VLOOKUP($C28, '[1]Dettaglio pacchetti'!$A$1:$I$530, 3, FALSE), "")
        )
    )
)</f>
        <v/>
      </c>
      <c r="F28" s="14" t="str" cm="1">
        <f t="array" ref="F28">IF(TRIM($B28)="DW01A", "Rilascio  EDW Estrattori",
    IFERROR(
        VLOOKUP(
            INDEX('[1]Dettaglio pacchetti'!$AB$1:$AB$530,
                _xlfn.AGGREGATE(15, 6,
                    (ROW($1:$345))/(ISNUMBER(SEARCH('[1]Dettaglio pacchetti'!$AB$1:$AB$530, $C28))),
                    1)
            ) &amp; "*",
            '[1]Dettaglio pacchetti'!$A$1:$I$530,
            4,
            FALSE
        ),
        IFERROR(VLOOKUP($C28, '[1]Dettaglio pacchetti'!$A$1:$I$530, 4, FALSE), "")
    )
)</f>
        <v/>
      </c>
      <c r="G28" s="14" t="str" cm="1">
        <f t="array" ref="G28">IF(TRIM($B28)="DW01A", "EDW - Estrattori",
    IF(TRIM($B28)="SG-ANAGRAFE", "SIGEA Anagrafe",
        IFERROR(
            VLOOKUP(
                INDEX('[1]Dettaglio pacchetti'!$AB$1:$AB$530,
                    _xlfn.AGGREGATE(15, 6,
                        (ROW($1:$345))/(ISNUMBER(SEARCH('[1]Dettaglio pacchetti'!$AB$1:$AB$530, $C28))),
                        1)
                ) &amp; "*",
                '[1]Dettaglio pacchetti'!$A$1:$I$530,
                5,
                FALSE
            ),
            IFERROR(VLOOKUP($C28, '[1]Dettaglio pacchetti'!$A$1:$I$530, 5, FALSE), "")
        )
    )
)</f>
        <v/>
      </c>
      <c r="H28" s="14"/>
      <c r="I28" s="7" t="str">
        <f t="shared" si="0"/>
        <v/>
      </c>
      <c r="J28" t="str">
        <f t="shared" si="1"/>
        <v/>
      </c>
      <c r="K28" t="str">
        <f t="shared" si="2"/>
        <v/>
      </c>
      <c r="L28" s="14" t="str" cm="1">
        <f t="array" ref="L28">IFERROR(
    VLOOKUP(
        INDEX('[1]Dettaglio pacchetti'!$AB$1:$AB$530,
            _xlfn.AGGREGATE(15, 6,
                ROW($1:$345)/(ISNUMBER(SEARCH('[1]Dettaglio pacchetti'!$AB$1:$AB$530, $C28))),
                1)
        ) &amp; "*",
        '[1]Dettaglio pacchetti'!$A$1:$I$530,
        8,
        FALSE
    ),
    IFERROR(VLOOKUP($C28, '[1]Dettaglio pacchetti'!$A$1:$I$530, 8, FALSE), "")
)</f>
        <v/>
      </c>
      <c r="M28" s="14" t="str" cm="1">
        <f t="array" ref="M28">IFERROR(
    VLOOKUP(
        INDEX('[1]Dettaglio pacchetti'!$AB$1:$AB$530,
            _xlfn.AGGREGATE(15, 6,
                ROW($1:$345)/(ISNUMBER(SEARCH('[1]Dettaglio pacchetti'!$AB$1:$AB$530, $C28))),
                1)
        ) &amp; "*",
        '[1]Dettaglio pacchetti'!$A$1:$I$530,
        9,
        FALSE
    ),
    IFERROR(VLOOKUP($C28, '[1]Dettaglio pacchetti'!$A$1:$I$530, 9, FALSE), "")
)</f>
        <v/>
      </c>
      <c r="N28" s="7"/>
      <c r="O28" s="6" t="s">
        <v>15</v>
      </c>
      <c r="P28" s="6" t="s">
        <v>27</v>
      </c>
      <c r="AA28" t="str" cm="1">
        <f t="array" ref="AA28">IFERROR(VLOOKUP(INDEX('[1]Dettaglio pacchetti'!$AB$1:$AB$530, _xlfn.AGGREGATE(15, 6, (ROW($1:$345))/(ISNUMBER(SEARCH('[1]Dettaglio pacchetti'!$AB$1:$AB$530, $C28))), 1)) &amp; "*", '[1]Dettaglio pacchetti'!$A$1:$N$530, 13, FALSE) &amp; "", "")</f>
        <v/>
      </c>
      <c r="AB28" t="str" cm="1">
        <f t="array" ref="AB28">IF(ISNUMBER(SEARCH("dev.azure.com", AA28)), IFERROR(VLOOKUP(INDEX('[1]Dettaglio pacchetti'!$AB$1:$AB$530, _xlfn.AGGREGATE(15, 6, (ROW($1:$345))/(ISNUMBER(SEARCH('[1]Dettaglio pacchetti'!$AB$1:$AB$530, $C28))), 1)) &amp; "*", '[1]Dettaglio pacchetti'!$A$1:$N$530, 1, FALSE) &amp; "", ""), "")</f>
        <v/>
      </c>
      <c r="AC28" t="str" cm="1">
        <f t="array" ref="AC28">IFERROR(
    VLOOKUP(
        INDEX('[1]Dettaglio pacchetti'!$AB$1:$AB$530, _xlfn.AGGREGATE(15,6,ROW($1:$345)/(ISNUMBER(SEARCH('[1]Dettaglio pacchetti'!$AB$1:$AB$530,$C28))),1)) &amp; "*",
        '[1]Dettaglio pacchetti'!$A$1:$I$530,
        7,
        FALSE
    ),
    IFERROR(VLOOKUP($C28, '[1]Dettaglio pacchetti'!$A$1:$I$530, 7, FALSE), "")
)</f>
        <v/>
      </c>
      <c r="AD28" t="str" cm="1">
        <f t="array" ref="AD28">IFERROR(
    VLOOKUP(
        INDEX('[1]Dettaglio pacchetti'!$AB$1:$AB$530, _xlfn.AGGREGATE(15,6,ROW($1:$345)/(ISNUMBER(SEARCH('[1]Dettaglio pacchetti'!$AB$1:$AB$530,$C28))),1)) &amp; "*",
        '[1]Dettaglio pacchetti'!$A$1:$I$530,
        6,
        FALSE
    ),
    IFERROR(VLOOKUP($C28, '[1]Dettaglio pacchetti'!$A$1:$I$530, 6, FALSE), "")
)</f>
        <v/>
      </c>
      <c r="AE28"/>
    </row>
    <row r="29" spans="2:31" s="4" customFormat="1" ht="14.85" customHeight="1" x14ac:dyDescent="0.3">
      <c r="B29" s="17"/>
      <c r="C29" s="14"/>
      <c r="D29" s="14" t="str" cm="1">
        <f t="array" ref="D29">IFERROR(
    _xlfn.LET(
        _xlpm.risultato,
        IFERROR(
            _xlfn.XLOOKUP(TRIM(UPPER(G29)),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pacchetti'!$E$1:$E$530))=TRIM(UPPER(G29)),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29" s="14" t="str" cm="1">
        <f t="array" ref="E29">IF(TRIM($B29)="SG-ANAGRAFE", "Bugni Batte",
    IF(TRIM($B29)="DW01A", "Cauda",
        IFERROR(
            VLOOKUP(
                INDEX('[1]Dettaglio pacchetti'!$AB$1:$AB$530,
                    _xlfn.AGGREGATE(15, 6,
                        (ROW($1:$345))/(ISNUMBER(SEARCH('[1]Dettaglio pacchetti'!$AB$1:$AB$530, $C29))),
                        1)
                ) &amp; "*",
                '[1]Dettaglio pacchetti'!$A$1:$I$530,
                3,
                FALSE
            ),
            IFERROR(VLOOKUP($C29, '[1]Dettaglio pacchetti'!$A$1:$I$530, 3, FALSE), "")
        )
    )
)</f>
        <v/>
      </c>
      <c r="F29" s="14" t="str" cm="1">
        <f t="array" ref="F29">IF(TRIM($B29)="DW01A", "ETL - EDW Estrattori",
    IFERROR(
        VLOOKUP(
            INDEX('[1]Dettaglio pacchetti'!$AB$1:$AB$530,
                _xlfn.AGGREGATE(15, 6,
                    (ROW($1:$345))/(ISNUMBER(SEARCH('[1]Dettaglio pacchetti'!$AB$1:$AB$530, $C29))),
                    1)
            ) &amp; "*",
            '[1]Dettaglio pacchetti'!$A$1:$I$530,
            4,
            FALSE
        ),
        IFERROR(VLOOKUP($C29, '[1]Dettaglio pacchetti'!$A$1:$I$530, 4, FALSE), "")
    )
)</f>
        <v/>
      </c>
      <c r="G29" s="14" t="str" cm="1">
        <f t="array" ref="G29">IF(TRIM($B29)="DW01A", "ETL - EDW Estrattori",
    IF(TRIM($B29)="SG-ANAGRAFE", "SIGEA Anagrafe",
        IFERROR(
            VLOOKUP(
                INDEX('[1]Dettaglio pacchetti'!$AB$1:$AB$530,
                    _xlfn.AGGREGATE(15, 6,
                        (ROW($1:$345))/(ISNUMBER(SEARCH('[1]Dettaglio pacchetti'!$AB$1:$AB$530, $C29))),
                        1)
                ) &amp; "*",
                '[1]Dettaglio pacchetti'!$A$1:$I$530,
                5,
                FALSE
            ),
            IFERROR(VLOOKUP($C29, '[1]Dettaglio pacchetti'!$A$1:$I$530, 5, FALSE), "")
        )
    )
)</f>
        <v/>
      </c>
      <c r="H29" s="14"/>
      <c r="I29" s="7" t="str">
        <f t="shared" si="0"/>
        <v/>
      </c>
      <c r="J29" t="str">
        <f t="shared" si="1"/>
        <v/>
      </c>
      <c r="K29" t="str">
        <f t="shared" si="2"/>
        <v/>
      </c>
      <c r="L29" s="14" t="str" cm="1">
        <f t="array" ref="L29">IFERROR(
    VLOOKUP(
        INDEX('[1]Dettaglio pacchetti'!$AB$1:$AB$530,
            _xlfn.AGGREGATE(15, 6,
                ROW($1:$345)/(ISNUMBER(SEARCH('[1]Dettaglio pacchetti'!$AB$1:$AB$530, $C29))),
                1)
        ) &amp; "*",
        '[1]Dettaglio pacchetti'!$A$1:$I$530,
        8,
        FALSE
    ),
    IFERROR(VLOOKUP($C29, '[1]Dettaglio pacchetti'!$A$1:$I$530, 8, FALSE), "")
)</f>
        <v/>
      </c>
      <c r="M29" s="14" t="str" cm="1">
        <f t="array" ref="M29">IFERROR(
    VLOOKUP(
        INDEX('[1]Dettaglio pacchetti'!$AB$1:$AB$530,
            _xlfn.AGGREGATE(15, 6,
                ROW($1:$345)/(ISNUMBER(SEARCH('[1]Dettaglio pacchetti'!$AB$1:$AB$530, $C29))),
                1)
        ) &amp; "*",
        '[1]Dettaglio pacchetti'!$A$1:$I$530,
        9,
        FALSE
    ),
    IFERROR(VLOOKUP($C29, '[1]Dettaglio pacchetti'!$A$1:$I$530, 9, FALSE), "")
)</f>
        <v/>
      </c>
      <c r="N29" s="7"/>
      <c r="O29" s="6" t="s">
        <v>15</v>
      </c>
      <c r="P29" s="6" t="s">
        <v>15</v>
      </c>
      <c r="AA29" t="str" cm="1">
        <f t="array" ref="AA29">IFERROR(VLOOKUP(INDEX('[1]Dettaglio pacchetti'!$AB$1:$AB$530, _xlfn.AGGREGATE(15, 6, (ROW($1:$345))/(ISNUMBER(SEARCH('[1]Dettaglio pacchetti'!$AB$1:$AB$530, $C29))), 1)) &amp; "*", '[1]Dettaglio pacchetti'!$A$1:$N$530, 13, FALSE) &amp; "", "")</f>
        <v/>
      </c>
      <c r="AB29" t="str" cm="1">
        <f t="array" ref="AB29">IF(ISNUMBER(SEARCH("dev.azure.com", AA29)), IFERROR(VLOOKUP(INDEX('[1]Dettaglio pacchetti'!$AB$1:$AB$530, _xlfn.AGGREGATE(15, 6, (ROW($1:$345))/(ISNUMBER(SEARCH('[1]Dettaglio pacchetti'!$AB$1:$AB$530, $C29))), 1)) &amp; "*", '[1]Dettaglio pacchetti'!$A$1:$N$530, 1, FALSE) &amp; "", ""), "")</f>
        <v/>
      </c>
      <c r="AC29" t="str" cm="1">
        <f t="array" ref="AC29">IFERROR(
    VLOOKUP(
        INDEX('[1]Dettaglio pacchetti'!$AB$1:$AB$530, _xlfn.AGGREGATE(15,6,ROW($1:$345)/(ISNUMBER(SEARCH('[1]Dettaglio pacchetti'!$AB$1:$AB$530,$C29))),1)) &amp; "*",
        '[1]Dettaglio pacchetti'!$A$1:$I$530,
        7,
        FALSE
    ),
    IFERROR(VLOOKUP($C29, '[1]Dettaglio pacchetti'!$A$1:$I$530, 7, FALSE), "")
)</f>
        <v/>
      </c>
      <c r="AD29" t="str" cm="1">
        <f t="array" ref="AD29">IFERROR(
    VLOOKUP(
        INDEX('[1]Dettaglio pacchetti'!$AB$1:$AB$530, _xlfn.AGGREGATE(15,6,ROW($1:$345)/(ISNUMBER(SEARCH('[1]Dettaglio pacchetti'!$AB$1:$AB$530,$C29))),1)) &amp; "*",
        '[1]Dettaglio pacchetti'!$A$1:$I$530,
        6,
        FALSE
    ),
    IFERROR(VLOOKUP($C29, '[1]Dettaglio pacchetti'!$A$1:$I$530, 6, FALSE), "")
)</f>
        <v/>
      </c>
      <c r="AE29"/>
    </row>
    <row r="30" spans="2:31" s="4" customFormat="1" ht="14.85" customHeight="1" x14ac:dyDescent="0.3">
      <c r="B30" s="17"/>
      <c r="C30" s="14"/>
      <c r="D30" s="14" t="str" cm="1">
        <f t="array" ref="D30">IFERROR(
    _xlfn.LET(
        _xlpm.risultato,
        IFERROR(
            _xlfn.XLOOKUP(TRIM(UPPER(G30)),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pacchetti'!$E$1:$E$530))=TRIM(UPPER(G30)),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30" s="14" t="str" cm="1">
        <f t="array" ref="E30">IF(TRIM($B30)="SG-ANAGRAFE", "Bugni Batte",
    IF(TRIM($B30)="DW01A", "Cauda",
        IFERROR(
            VLOOKUP(
                INDEX('[1]Dettaglio pacchetti'!$AB$1:$AB$530,
                    _xlfn.AGGREGATE(15, 6,
                        (ROW($1:$345))/(ISNUMBER(SEARCH('[1]Dettaglio pacchetti'!$AB$1:$AB$530, $C30))),
                        1)
                ) &amp; "*",
                '[1]Dettaglio pacchetti'!$A$1:$I$530,
                3,
                FALSE
            ),
            IFERROR(VLOOKUP($C30, '[1]Dettaglio pacchetti'!$A$1:$I$530, 3, FALSE), "")
        )
    )
)</f>
        <v/>
      </c>
      <c r="F30" s="14" t="str" cm="1">
        <f t="array" ref="F30">IF(TRIM($B30)="DW01A", "ETL - EDW Estrattori",
    IFERROR(
        VLOOKUP(
            INDEX('[1]Dettaglio pacchetti'!$AB$1:$AB$530,
                _xlfn.AGGREGATE(15, 6,
                    (ROW($1:$345))/(ISNUMBER(SEARCH('[1]Dettaglio pacchetti'!$AB$1:$AB$530, $C30))),
                    1)
            ) &amp; "*",
            '[1]Dettaglio pacchetti'!$A$1:$I$530,
            4,
            FALSE
        ),
        IFERROR(VLOOKUP($C30, '[1]Dettaglio pacchetti'!$A$1:$I$530, 4, FALSE), "")
    )
)</f>
        <v/>
      </c>
      <c r="G30" s="14" t="str" cm="1">
        <f t="array" ref="G30">IF(TRIM($B30)="DW01A", "ETL - EDW Estrattori",
    IF(TRIM($B30)="SG-ANAGRAFE", "SIGEA Anagrafe",
        IFERROR(
            VLOOKUP(
                INDEX('[1]Dettaglio pacchetti'!$AB$1:$AB$530,
                    _xlfn.AGGREGATE(15, 6,
                        (ROW($1:$345))/(ISNUMBER(SEARCH('[1]Dettaglio pacchetti'!$AB$1:$AB$530, $C30))),
                        1)
                ) &amp; "*",
                '[1]Dettaglio pacchetti'!$A$1:$I$530,
                5,
                FALSE
            ),
            IFERROR(VLOOKUP($C30, '[1]Dettaglio pacchetti'!$A$1:$I$530, 5, FALSE), "")
        )
    )
)</f>
        <v/>
      </c>
      <c r="H30" s="14"/>
      <c r="I30" s="7" t="str">
        <f t="shared" si="0"/>
        <v/>
      </c>
      <c r="J30" t="str">
        <f t="shared" si="1"/>
        <v/>
      </c>
      <c r="K30" t="str">
        <f t="shared" si="2"/>
        <v/>
      </c>
      <c r="L30" s="14" t="str" cm="1">
        <f t="array" ref="L30">IFERROR(
    VLOOKUP(
        INDEX('[1]Dettaglio pacchetti'!$AB$1:$AB$530,
            _xlfn.AGGREGATE(15, 6,
                ROW($1:$345)/(ISNUMBER(SEARCH('[1]Dettaglio pacchetti'!$AB$1:$AB$530, $C30))),
                1)
        ) &amp; "*",
        '[1]Dettaglio pacchetti'!$A$1:$I$530,
        8,
        FALSE
    ),
    IFERROR(VLOOKUP($C30, '[1]Dettaglio pacchetti'!$A$1:$I$530, 8, FALSE), "")
)</f>
        <v/>
      </c>
      <c r="M30" s="14" t="str" cm="1">
        <f t="array" ref="M30">IFERROR(
    VLOOKUP(
        INDEX('[1]Dettaglio pacchetti'!$AB$1:$AB$530,
            _xlfn.AGGREGATE(15, 6,
                ROW($1:$345)/(ISNUMBER(SEARCH('[1]Dettaglio pacchetti'!$AB$1:$AB$530, $C30))),
                1)
        ) &amp; "*",
        '[1]Dettaglio pacchetti'!$A$1:$I$530,
        9,
        FALSE
    ),
    IFERROR(VLOOKUP($C30, '[1]Dettaglio pacchetti'!$A$1:$I$530, 9, FALSE), "")
)</f>
        <v/>
      </c>
      <c r="N30" s="7"/>
      <c r="O30" s="6" t="s">
        <v>15</v>
      </c>
      <c r="P30" s="6" t="s">
        <v>15</v>
      </c>
      <c r="AA30" t="str" cm="1">
        <f t="array" ref="AA30">IFERROR(VLOOKUP(INDEX('[1]Dettaglio pacchetti'!$AB$1:$AB$530, _xlfn.AGGREGATE(15, 6, (ROW($1:$345))/(ISNUMBER(SEARCH('[1]Dettaglio pacchetti'!$AB$1:$AB$530, $C30))), 1)) &amp; "*", '[1]Dettaglio pacchetti'!$A$1:$N$530, 13, FALSE) &amp; "", "")</f>
        <v/>
      </c>
      <c r="AB30" t="str" cm="1">
        <f t="array" ref="AB30">IF(ISNUMBER(SEARCH("dev.azure.com", AA30)), IFERROR(VLOOKUP(INDEX('[1]Dettaglio pacchetti'!$AB$1:$AB$530, _xlfn.AGGREGATE(15, 6, (ROW($1:$345))/(ISNUMBER(SEARCH('[1]Dettaglio pacchetti'!$AB$1:$AB$530, $C30))), 1)) &amp; "*", '[1]Dettaglio pacchetti'!$A$1:$N$530, 1, FALSE) &amp; "", ""), "")</f>
        <v/>
      </c>
      <c r="AC30" t="str" cm="1">
        <f t="array" ref="AC30">IFERROR(
    VLOOKUP(
        INDEX('[1]Dettaglio pacchetti'!$AB$1:$AB$530, _xlfn.AGGREGATE(15,6,ROW($1:$345)/(ISNUMBER(SEARCH('[1]Dettaglio pacchetti'!$AB$1:$AB$530,$C30))),1)) &amp; "*",
        '[1]Dettaglio pacchetti'!$A$1:$I$530,
        7,
        FALSE
    ),
    IFERROR(VLOOKUP($C30, '[1]Dettaglio pacchetti'!$A$1:$I$530, 7, FALSE), "")
)</f>
        <v/>
      </c>
      <c r="AD30" t="str" cm="1">
        <f t="array" ref="AD30">IFERROR(
    VLOOKUP(
        INDEX('[1]Dettaglio pacchetti'!$AB$1:$AB$530, _xlfn.AGGREGATE(15,6,ROW($1:$345)/(ISNUMBER(SEARCH('[1]Dettaglio pacchetti'!$AB$1:$AB$530,$C30))),1)) &amp; "*",
        '[1]Dettaglio pacchetti'!$A$1:$I$530,
        6,
        FALSE
    ),
    IFERROR(VLOOKUP($C30, '[1]Dettaglio pacchetti'!$A$1:$I$530, 6, FALSE), "")
)</f>
        <v/>
      </c>
      <c r="AE30"/>
    </row>
    <row r="31" spans="2:31" s="4" customFormat="1" ht="14.85" customHeight="1" x14ac:dyDescent="0.3">
      <c r="B31" s="17"/>
      <c r="C31" s="14"/>
      <c r="D31" s="14" t="str" cm="1">
        <f t="array" ref="D31">IFERROR(
    _xlfn.LET(
        _xlpm.risultato,
        IFERROR(
            _xlfn.XLOOKUP(TRIM(UPPER(G31)),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pacchetti'!$E$1:$E$530))=TRIM(UPPER(G31)),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31" s="14" t="str" cm="1">
        <f t="array" ref="E31">IF(TRIM($B31)="SG-ANAGRAFE", "Bugni Batte",
    IF(TRIM($B31)="DW01A", "Cauda",
        IFERROR(
            VLOOKUP(
                INDEX('[1]Dettaglio pacchetti'!$AB$1:$AB$530,
                    _xlfn.AGGREGATE(15, 6,
                        (ROW($1:$345))/(ISNUMBER(SEARCH('[1]Dettaglio pacchetti'!$AB$1:$AB$530, $C31))),
                        1)
                ) &amp; "*",
                '[1]Dettaglio pacchetti'!$A$1:$I$530,
                3,
                FALSE
            ),
            IFERROR(VLOOKUP($C31, '[1]Dettaglio pacchetti'!$A$1:$I$530, 3, FALSE), "")
        )
    )
)</f>
        <v/>
      </c>
      <c r="F31" s="14" t="str" cm="1">
        <f t="array" ref="F31">IF(TRIM($B31)="DW01A", "ETL - EDW Estrattori",
    IFERROR(
        VLOOKUP(
            INDEX('[1]Dettaglio pacchetti'!$AB$1:$AB$530,
                _xlfn.AGGREGATE(15, 6,
                    (ROW($1:$345))/(ISNUMBER(SEARCH('[1]Dettaglio pacchetti'!$AB$1:$AB$530, $C31))),
                    1)
            ) &amp; "*",
            '[1]Dettaglio pacchetti'!$A$1:$I$530,
            4,
            FALSE
        ),
        IFERROR(VLOOKUP($C31, '[1]Dettaglio pacchetti'!$A$1:$I$530, 4, FALSE), "")
    )
)</f>
        <v/>
      </c>
      <c r="G31" s="14" t="str" cm="1">
        <f t="array" ref="G31">IF(TRIM($B31)="DW01A", "ETL - EDW Estrattori",
    IF(TRIM($B31)="SG-ANAGRAFE", "SIGEA Anagrafe",
        IFERROR(
            VLOOKUP(
                INDEX('[1]Dettaglio pacchetti'!$AB$1:$AB$530,
                    _xlfn.AGGREGATE(15, 6,
                        (ROW($1:$345))/(ISNUMBER(SEARCH('[1]Dettaglio pacchetti'!$AB$1:$AB$530, $C31))),
                        1)
                ) &amp; "*",
                '[1]Dettaglio pacchetti'!$A$1:$I$530,
                5,
                FALSE
            ),
            IFERROR(VLOOKUP($C31, '[1]Dettaglio pacchetti'!$A$1:$I$530, 5, FALSE), "")
        )
    )
)</f>
        <v/>
      </c>
      <c r="H31" s="14"/>
      <c r="I31" s="7" t="str">
        <f t="shared" si="0"/>
        <v/>
      </c>
      <c r="J31" t="str">
        <f t="shared" si="1"/>
        <v/>
      </c>
      <c r="K31" t="str">
        <f t="shared" si="2"/>
        <v/>
      </c>
      <c r="L31" s="14" t="str" cm="1">
        <f t="array" ref="L31">IFERROR(
    VLOOKUP(
        INDEX('[1]Dettaglio pacchetti'!$AB$1:$AB$530,
            _xlfn.AGGREGATE(15, 6,
                ROW($1:$345)/(ISNUMBER(SEARCH('[1]Dettaglio pacchetti'!$AB$1:$AB$530, $C31))),
                1)
        ) &amp; "*",
        '[1]Dettaglio pacchetti'!$A$1:$I$530,
        8,
        FALSE
    ),
    IFERROR(VLOOKUP($C31, '[1]Dettaglio pacchetti'!$A$1:$I$530, 8, FALSE), "")
)</f>
        <v/>
      </c>
      <c r="M31" s="14" t="str" cm="1">
        <f t="array" ref="M31">IFERROR(
    VLOOKUP(
        INDEX('[1]Dettaglio pacchetti'!$AB$1:$AB$530,
            _xlfn.AGGREGATE(15, 6,
                ROW($1:$345)/(ISNUMBER(SEARCH('[1]Dettaglio pacchetti'!$AB$1:$AB$530, $C31))),
                1)
        ) &amp; "*",
        '[1]Dettaglio pacchetti'!$A$1:$I$530,
        9,
        FALSE
    ),
    IFERROR(VLOOKUP($C31, '[1]Dettaglio pacchetti'!$A$1:$I$530, 9, FALSE), "")
)</f>
        <v/>
      </c>
      <c r="N31" s="7"/>
      <c r="O31" s="6" t="s">
        <v>15</v>
      </c>
      <c r="P31" s="6" t="s">
        <v>15</v>
      </c>
      <c r="AA31" t="str" cm="1">
        <f t="array" ref="AA31">IFERROR(VLOOKUP(INDEX('[1]Dettaglio pacchetti'!$AB$1:$AB$530, _xlfn.AGGREGATE(15, 6, (ROW($1:$345))/(ISNUMBER(SEARCH('[1]Dettaglio pacchetti'!$AB$1:$AB$530, $C31))), 1)) &amp; "*", '[1]Dettaglio pacchetti'!$A$1:$N$530, 13, FALSE) &amp; "", "")</f>
        <v/>
      </c>
      <c r="AB31" t="str" cm="1">
        <f t="array" ref="AB31">IF(ISNUMBER(SEARCH("dev.azure.com", AA31)), IFERROR(VLOOKUP(INDEX('[1]Dettaglio pacchetti'!$AB$1:$AB$530, _xlfn.AGGREGATE(15, 6, (ROW($1:$345))/(ISNUMBER(SEARCH('[1]Dettaglio pacchetti'!$AB$1:$AB$530, $C31))), 1)) &amp; "*", '[1]Dettaglio pacchetti'!$A$1:$N$530, 1, FALSE) &amp; "", ""), "")</f>
        <v/>
      </c>
      <c r="AC31" t="str" cm="1">
        <f t="array" ref="AC31">IFERROR(
    VLOOKUP(
        INDEX('[1]Dettaglio pacchetti'!$AB$1:$AB$530, _xlfn.AGGREGATE(15,6,ROW($1:$345)/(ISNUMBER(SEARCH('[1]Dettaglio pacchetti'!$AB$1:$AB$530,$C31))),1)) &amp; "*",
        '[1]Dettaglio pacchetti'!$A$1:$I$530,
        7,
        FALSE
    ),
    IFERROR(VLOOKUP($C31, '[1]Dettaglio pacchetti'!$A$1:$I$530, 7, FALSE), "")
)</f>
        <v/>
      </c>
      <c r="AD31" t="str" cm="1">
        <f t="array" ref="AD31">IFERROR(
    VLOOKUP(
        INDEX('[1]Dettaglio pacchetti'!$AB$1:$AB$530, _xlfn.AGGREGATE(15,6,ROW($1:$345)/(ISNUMBER(SEARCH('[1]Dettaglio pacchetti'!$AB$1:$AB$530,$C31))),1)) &amp; "*",
        '[1]Dettaglio pacchetti'!$A$1:$I$530,
        6,
        FALSE
    ),
    IFERROR(VLOOKUP($C31, '[1]Dettaglio pacchetti'!$A$1:$I$530, 6, FALSE), "")
)</f>
        <v/>
      </c>
      <c r="AE31"/>
    </row>
    <row r="32" spans="2:31" s="4" customFormat="1" ht="14.85" customHeight="1" x14ac:dyDescent="0.3">
      <c r="B32" s="17"/>
      <c r="C32" s="14"/>
      <c r="D32" s="14" t="str" cm="1">
        <f t="array" ref="D32">IFERROR(
    _xlfn.LET(
        _xlpm.risultato,
        IFERROR(
            _xlfn.XLOOKUP(TRIM(UPPER(G32)),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pacchetti'!$E$1:$E$530))=TRIM(UPPER(G32)),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32" s="14" t="str" cm="1">
        <f t="array" ref="E32">IF(TRIM($B32)="SG-ANAGRAFE", "Bugni Batte",
    IF(TRIM($B32)="DW01A", "Cauda",
        IFERROR(
            VLOOKUP(
                INDEX('[1]Dettaglio pacchetti'!$AB$1:$AB$530,
                    _xlfn.AGGREGATE(15, 6,
                        (ROW($1:$345))/(ISNUMBER(SEARCH('[1]Dettaglio pacchetti'!$AB$1:$AB$530, $C32))),
                        1)
                ) &amp; "*",
                '[1]Dettaglio pacchetti'!$A$1:$I$530,
                3,
                FALSE
            ),
            IFERROR(VLOOKUP($C32, '[1]Dettaglio pacchetti'!$A$1:$I$530, 3, FALSE), "")
        )
    )
)</f>
        <v/>
      </c>
      <c r="F32" s="14" t="str" cm="1">
        <f t="array" ref="F32">IF(TRIM($B32)="DW01A", "ETL - EDW Estrattori",
    IFERROR(
        VLOOKUP(
            INDEX('[1]Dettaglio pacchetti'!$AB$1:$AB$530,
                _xlfn.AGGREGATE(15, 6,
                    (ROW($1:$345))/(ISNUMBER(SEARCH('[1]Dettaglio pacchetti'!$AB$1:$AB$530, $C32))),
                    1)
            ) &amp; "*",
            '[1]Dettaglio pacchetti'!$A$1:$I$530,
            4,
            FALSE
        ),
        IFERROR(VLOOKUP($C32, '[1]Dettaglio pacchetti'!$A$1:$I$530, 4, FALSE), "")
    )
)</f>
        <v/>
      </c>
      <c r="G32" s="14" t="str" cm="1">
        <f t="array" ref="G32">IF(TRIM($B32)="DW01A", "ETL - EDW Estrattori",
    IF(TRIM($B32)="SG-ANAGRAFE", "SIGEA Anagrafe",
        IFERROR(
            VLOOKUP(
                INDEX('[1]Dettaglio pacchetti'!$AB$1:$AB$530,
                    _xlfn.AGGREGATE(15, 6,
                        (ROW($1:$345))/(ISNUMBER(SEARCH('[1]Dettaglio pacchetti'!$AB$1:$AB$530, $C32))),
                        1)
                ) &amp; "*",
                '[1]Dettaglio pacchetti'!$A$1:$I$530,
                5,
                FALSE
            ),
            IFERROR(VLOOKUP($C32, '[1]Dettaglio pacchetti'!$A$1:$I$530, 5, FALSE), "")
        )
    )
)</f>
        <v/>
      </c>
      <c r="H32" s="14"/>
      <c r="I32" s="7" t="str">
        <f t="shared" si="0"/>
        <v/>
      </c>
      <c r="J32" t="str">
        <f t="shared" si="1"/>
        <v/>
      </c>
      <c r="K32" t="str">
        <f t="shared" si="2"/>
        <v/>
      </c>
      <c r="L32" s="14" t="str" cm="1">
        <f t="array" ref="L32">IFERROR(
    VLOOKUP(
        INDEX('[1]Dettaglio pacchetti'!$AB$1:$AB$530,
            _xlfn.AGGREGATE(15, 6,
                ROW($1:$345)/(ISNUMBER(SEARCH('[1]Dettaglio pacchetti'!$AB$1:$AB$530, $C32))),
                1)
        ) &amp; "*",
        '[1]Dettaglio pacchetti'!$A$1:$I$530,
        8,
        FALSE
    ),
    IFERROR(VLOOKUP($C32, '[1]Dettaglio pacchetti'!$A$1:$I$530, 8, FALSE), "")
)</f>
        <v/>
      </c>
      <c r="M32" s="14" t="str" cm="1">
        <f t="array" ref="M32">IFERROR(
    VLOOKUP(
        INDEX('[1]Dettaglio pacchetti'!$AB$1:$AB$530,
            _xlfn.AGGREGATE(15, 6,
                ROW($1:$345)/(ISNUMBER(SEARCH('[1]Dettaglio pacchetti'!$AB$1:$AB$530, $C32))),
                1)
        ) &amp; "*",
        '[1]Dettaglio pacchetti'!$A$1:$I$530,
        9,
        FALSE
    ),
    IFERROR(VLOOKUP($C32, '[1]Dettaglio pacchetti'!$A$1:$I$530, 9, FALSE), "")
)</f>
        <v/>
      </c>
      <c r="N32" s="7"/>
      <c r="O32" s="6" t="s">
        <v>15</v>
      </c>
      <c r="P32" s="6" t="s">
        <v>15</v>
      </c>
      <c r="AA32" t="str" cm="1">
        <f t="array" ref="AA32">IFERROR(VLOOKUP(INDEX('[1]Dettaglio pacchetti'!$AB$1:$AB$530, _xlfn.AGGREGATE(15, 6, (ROW($1:$345))/(ISNUMBER(SEARCH('[1]Dettaglio pacchetti'!$AB$1:$AB$530, $C32))), 1)) &amp; "*", '[1]Dettaglio pacchetti'!$A$1:$N$530, 13, FALSE) &amp; "", "")</f>
        <v/>
      </c>
      <c r="AB32" t="str" cm="1">
        <f t="array" ref="AB32">IF(ISNUMBER(SEARCH("dev.azure.com", AA32)), IFERROR(VLOOKUP(INDEX('[1]Dettaglio pacchetti'!$AB$1:$AB$530, _xlfn.AGGREGATE(15, 6, (ROW($1:$345))/(ISNUMBER(SEARCH('[1]Dettaglio pacchetti'!$AB$1:$AB$530, $C32))), 1)) &amp; "*", '[1]Dettaglio pacchetti'!$A$1:$N$530, 1, FALSE) &amp; "", ""), "")</f>
        <v/>
      </c>
      <c r="AC32" t="str" cm="1">
        <f t="array" ref="AC32">IFERROR(
    VLOOKUP(
        INDEX('[1]Dettaglio pacchetti'!$AB$1:$AB$530, _xlfn.AGGREGATE(15,6,ROW($1:$345)/(ISNUMBER(SEARCH('[1]Dettaglio pacchetti'!$AB$1:$AB$530,$C32))),1)) &amp; "*",
        '[1]Dettaglio pacchetti'!$A$1:$I$530,
        7,
        FALSE
    ),
    IFERROR(VLOOKUP($C32, '[1]Dettaglio pacchetti'!$A$1:$I$530, 7, FALSE), "")
)</f>
        <v/>
      </c>
      <c r="AD32" t="str" cm="1">
        <f t="array" ref="AD32">IFERROR(
    VLOOKUP(
        INDEX('[1]Dettaglio pacchetti'!$AB$1:$AB$530, _xlfn.AGGREGATE(15,6,ROW($1:$345)/(ISNUMBER(SEARCH('[1]Dettaglio pacchetti'!$AB$1:$AB$530,$C32))),1)) &amp; "*",
        '[1]Dettaglio pacchetti'!$A$1:$I$530,
        6,
        FALSE
    ),
    IFERROR(VLOOKUP($C32, '[1]Dettaglio pacchetti'!$A$1:$I$530, 6, FALSE), "")
)</f>
        <v/>
      </c>
      <c r="AE32"/>
    </row>
    <row r="33" spans="2:31" s="4" customFormat="1" ht="14.85" customHeight="1" x14ac:dyDescent="0.3">
      <c r="B33" s="17"/>
      <c r="C33" s="14"/>
      <c r="D33" s="14" t="str" cm="1">
        <f t="array" ref="D33">IFERROR(
    _xlfn.LET(
        _xlpm.risultato,
        IFERROR(
            _xlfn.XLOOKUP(TRIM(UPPER(G33)),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pacchetti'!$E$1:$E$530))=TRIM(UPPER(G33)),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33" s="14" t="str" cm="1">
        <f t="array" ref="E33">IF(TRIM($B33)="SG-ANAGRAFE", "Bugni Batte",
    IF(TRIM($B33)="DW01A", "Cauda",
        IFERROR(
            VLOOKUP(
                INDEX('[1]Dettaglio pacchetti'!$AB$1:$AB$530,
                    _xlfn.AGGREGATE(15, 6,
                        (ROW($1:$345))/(ISNUMBER(SEARCH('[1]Dettaglio pacchetti'!$AB$1:$AB$530, $C33))),
                        1)
                ) &amp; "*",
                '[1]Dettaglio pacchetti'!$A$1:$I$530,
                3,
                FALSE
            ),
            IFERROR(VLOOKUP($C33, '[1]Dettaglio pacchetti'!$A$1:$I$530, 3, FALSE), "")
        )
    )
)</f>
        <v/>
      </c>
      <c r="F33" s="14" t="str" cm="1">
        <f t="array" ref="F33">IF(TRIM($B33)="DW01A", "ETL - EDW Estrattori",
    IFERROR(
        VLOOKUP(
            INDEX('[1]Dettaglio pacchetti'!$AB$1:$AB$530,
                _xlfn.AGGREGATE(15, 6,
                    (ROW($1:$345))/(ISNUMBER(SEARCH('[1]Dettaglio pacchetti'!$AB$1:$AB$530, $C33))),
                    1)
            ) &amp; "*",
            '[1]Dettaglio pacchetti'!$A$1:$I$530,
            4,
            FALSE
        ),
        IFERROR(VLOOKUP($C33, '[1]Dettaglio pacchetti'!$A$1:$I$530, 4, FALSE), "")
    )
)</f>
        <v/>
      </c>
      <c r="G33" s="14" t="str" cm="1">
        <f t="array" ref="G33">IF(TRIM($B33)="DW01A", "ETL - EDW Estrattori",
    IF(TRIM($B33)="SG-ANAGRAFE", "SIGEA Anagrafe",
        IFERROR(
            VLOOKUP(
                INDEX('[1]Dettaglio pacchetti'!$AB$1:$AB$530,
                    _xlfn.AGGREGATE(15, 6,
                        (ROW($1:$345))/(ISNUMBER(SEARCH('[1]Dettaglio pacchetti'!$AB$1:$AB$530, $C33))),
                        1)
                ) &amp; "*",
                '[1]Dettaglio pacchetti'!$A$1:$I$530,
                5,
                FALSE
            ),
            IFERROR(VLOOKUP($C33, '[1]Dettaglio pacchetti'!$A$1:$I$530, 5, FALSE), "")
        )
    )
)</f>
        <v/>
      </c>
      <c r="H33" s="14"/>
      <c r="I33" s="7" t="str">
        <f t="shared" si="0"/>
        <v/>
      </c>
      <c r="J33" t="str">
        <f t="shared" si="1"/>
        <v/>
      </c>
      <c r="K33" t="str">
        <f t="shared" si="2"/>
        <v/>
      </c>
      <c r="L33" s="14" t="str" cm="1">
        <f t="array" ref="L33">IFERROR(
    VLOOKUP(
        INDEX('[1]Dettaglio pacchetti'!$AB$1:$AB$530,
            _xlfn.AGGREGATE(15, 6,
                ROW($1:$345)/(ISNUMBER(SEARCH('[1]Dettaglio pacchetti'!$AB$1:$AB$530, $C33))),
                1)
        ) &amp; "*",
        '[1]Dettaglio pacchetti'!$A$1:$I$530,
        8,
        FALSE
    ),
    IFERROR(VLOOKUP($C33, '[1]Dettaglio pacchetti'!$A$1:$I$530, 8, FALSE), "")
)</f>
        <v/>
      </c>
      <c r="M33" s="14" t="str" cm="1">
        <f t="array" ref="M33">IFERROR(
    VLOOKUP(
        INDEX('[1]Dettaglio pacchetti'!$AB$1:$AB$530,
            _xlfn.AGGREGATE(15, 6,
                ROW($1:$345)/(ISNUMBER(SEARCH('[1]Dettaglio pacchetti'!$AB$1:$AB$530, $C33))),
                1)
        ) &amp; "*",
        '[1]Dettaglio pacchetti'!$A$1:$I$530,
        9,
        FALSE
    ),
    IFERROR(VLOOKUP($C33, '[1]Dettaglio pacchetti'!$A$1:$I$530, 9, FALSE), "")
)</f>
        <v/>
      </c>
      <c r="N33" s="7"/>
      <c r="O33" s="6" t="s">
        <v>15</v>
      </c>
      <c r="P33" s="6" t="s">
        <v>15</v>
      </c>
      <c r="AA33" t="str" cm="1">
        <f t="array" ref="AA33">IFERROR(VLOOKUP(INDEX('[1]Dettaglio pacchetti'!$AB$1:$AB$530, _xlfn.AGGREGATE(15, 6, (ROW($1:$345))/(ISNUMBER(SEARCH('[1]Dettaglio pacchetti'!$AB$1:$AB$530, $C33))), 1)) &amp; "*", '[1]Dettaglio pacchetti'!$A$1:$N$530, 13, FALSE) &amp; "", "")</f>
        <v/>
      </c>
      <c r="AB33" t="str" cm="1">
        <f t="array" ref="AB33">IF(ISNUMBER(SEARCH("dev.azure.com", AA33)), IFERROR(VLOOKUP(INDEX('[1]Dettaglio pacchetti'!$AB$1:$AB$530, _xlfn.AGGREGATE(15, 6, (ROW($1:$345))/(ISNUMBER(SEARCH('[1]Dettaglio pacchetti'!$AB$1:$AB$530, $C33))), 1)) &amp; "*", '[1]Dettaglio pacchetti'!$A$1:$N$530, 1, FALSE) &amp; "", ""), "")</f>
        <v/>
      </c>
      <c r="AC33" t="str" cm="1">
        <f t="array" ref="AC33">IFERROR(
    VLOOKUP(
        INDEX('[1]Dettaglio pacchetti'!$AB$1:$AB$530, _xlfn.AGGREGATE(15,6,ROW($1:$345)/(ISNUMBER(SEARCH('[1]Dettaglio pacchetti'!$AB$1:$AB$530,$C33))),1)) &amp; "*",
        '[1]Dettaglio pacchetti'!$A$1:$I$530,
        7,
        FALSE
    ),
    IFERROR(VLOOKUP($C33, '[1]Dettaglio pacchetti'!$A$1:$I$530, 7, FALSE), "")
)</f>
        <v/>
      </c>
      <c r="AD33" t="str" cm="1">
        <f t="array" ref="AD33">IFERROR(
    VLOOKUP(
        INDEX('[1]Dettaglio pacchetti'!$AB$1:$AB$530, _xlfn.AGGREGATE(15,6,ROW($1:$345)/(ISNUMBER(SEARCH('[1]Dettaglio pacchetti'!$AB$1:$AB$530,$C33))),1)) &amp; "*",
        '[1]Dettaglio pacchetti'!$A$1:$I$530,
        6,
        FALSE
    ),
    IFERROR(VLOOKUP($C33, '[1]Dettaglio pacchetti'!$A$1:$I$530, 6, FALSE), "")
)</f>
        <v/>
      </c>
      <c r="AE33"/>
    </row>
    <row r="34" spans="2:31" s="4" customFormat="1" ht="14.85" hidden="1" customHeight="1" x14ac:dyDescent="0.3">
      <c r="B34" s="17"/>
      <c r="C34" s="59" t="s">
        <v>107</v>
      </c>
      <c r="D34" s="20" t="str" cm="1">
        <f t="array" ref="D34">IFERROR(
    _xlfn.LET(
        _xlpm.risultato,
        IFERROR(
            _xlfn.XLOOKUP(TRIM(UPPER(G34)),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pacchetti'!$E$1:$E$530))=TRIM(UPPER(G34)),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>C20260806_0083</v>
      </c>
      <c r="E34" s="14" t="str" cm="1">
        <f t="array" ref="E34">IF(TRIM($B34)="SG-ANAGRAFE", "Bugni Batte",
    IF(TRIM($B34)="DW01A", "Cauda",
        IFERROR(
            VLOOKUP(
                INDEX('[1]Dettaglio pacchetti'!$AB$1:$AB$530,
                    _xlfn.AGGREGATE(15, 6,
                        (ROW($1:$345))/(ISNUMBER(SEARCH('[1]Dettaglio pacchetti'!$AB$1:$AB$530, $C34))),
                        1)
                ) &amp; "*",
                '[1]Dettaglio pacchetti'!$A$1:$I$530,
                3,
                FALSE
            ),
            IFERROR(VLOOKUP($C34, '[1]Dettaglio pacchetti'!$A$1:$I$530, 3, FALSE), "")
        )
    )
)</f>
        <v>Martino</v>
      </c>
      <c r="F34" s="14" t="str" cm="1">
        <f t="array" ref="F34">IF(TRIM($B34)="DW01A", "ETL - EDW Estrattori",
    IFERROR(
        VLOOKUP(
            INDEX('[1]Dettaglio pacchetti'!$AB$1:$AB$530,
                _xlfn.AGGREGATE(15, 6,
                    (ROW($1:$345))/(ISNUMBER(SEARCH('[1]Dettaglio pacchetti'!$AB$1:$AB$530, $C34))),
                    1)
            ) &amp; "*",
            '[1]Dettaglio pacchetti'!$A$1:$I$530,
            4,
            FALSE
        ),
        IFERROR(VLOOKUP($C34, '[1]Dettaglio pacchetti'!$A$1:$I$530, 4, FALSE), "")
    )
)</f>
        <v>Rilascio pacchetto 7RMAEAICONSOLE</v>
      </c>
      <c r="G34" s="14" t="str" cm="1">
        <f t="array" ref="G34">IF(TRIM($B34)="DW01A", "ETL - EDW Estrattori",
    IF(TRIM($B34)="SG-ANAGRAFE", "SIGEA Anagrafe",
        IFERROR(
            VLOOKUP(
                INDEX('[1]Dettaglio pacchetti'!$AB$1:$AB$530,
                    _xlfn.AGGREGATE(15, 6,
                        (ROW($1:$345))/(ISNUMBER(SEARCH('[1]Dettaglio pacchetti'!$AB$1:$AB$530, $C34))),
                        1)
                ) &amp; "*",
                '[1]Dettaglio pacchetti'!$A$1:$I$530,
                5,
                FALSE
            ),
            IFERROR(VLOOKUP($C34, '[1]Dettaglio pacchetti'!$A$1:$I$530, 5, FALSE), "")
        )
    )
)</f>
        <v>Integrazione</v>
      </c>
      <c r="H34" s="14" t="str" cm="1">
        <f t="array" ref="H34">IFERROR(
    VLOOKUP(
        INDEX('[1]Dettaglio pacchetti'!$AB$1:$AB$530,
            _xlfn.AGGREGATE(15, 6,
                (ROW($1:$345))/(ISNUMBER(SEARCH('[1]Dettaglio pacchetti'!$AB$1:$AB$530, $C34))),
                1)
        ) &amp; "*",
        '[1]Dettaglio pacchetti'!$A$1:$I$530,
        6,
        FALSE
    ),
    IFERROR(VLOOKUP($C34, '[1]Dettaglio pacchetti'!$A$1:$I$530, 6, FALSE), "")
)</f>
        <v>Ikan Alm</v>
      </c>
      <c r="I34" s="7" t="str">
        <f t="shared" ref="I34:I57" si="3">IF(OR(AA34="", AB34=""), "", HYPERLINK(AA34, AB34))</f>
        <v/>
      </c>
      <c r="J34" t="str">
        <f t="shared" si="1"/>
        <v/>
      </c>
      <c r="K34" t="str">
        <f t="shared" si="2"/>
        <v>INTEGRAZIONE</v>
      </c>
      <c r="L34" s="14" t="str" cm="1">
        <f t="array" ref="L34">IFERROR(
    VLOOKUP(
        INDEX('[1]Dettaglio pacchetti'!$AB$1:$AB$530,
            _xlfn.AGGREGATE(15, 6,
                ROW($1:$345)/(ISNUMBER(SEARCH('[1]Dettaglio pacchetti'!$AB$1:$AB$530, $C34))),
                1)
        ) &amp; "*",
        '[1]Dettaglio pacchetti'!$A$1:$I$530,
        8,
        FALSE
    ),
    IFERROR(VLOOKUP($C34, '[1]Dettaglio pacchetti'!$A$1:$I$530, 8, FALSE), "")
)</f>
        <v>23.00</v>
      </c>
      <c r="M34" s="14" t="str" cm="1">
        <f t="array" ref="M34">IFERROR(
    VLOOKUP(
        INDEX('[1]Dettaglio pacchetti'!$AB$1:$AB$530,
            _xlfn.AGGREGATE(15, 6,
                ROW($1:$345)/(ISNUMBER(SEARCH('[1]Dettaglio pacchetti'!$AB$1:$AB$530, $C34))),
                1)
        ) &amp; "*",
        '[1]Dettaglio pacchetti'!$A$1:$I$530,
        9,
        FALSE
    ),
    IFERROR(VLOOKUP($C34, '[1]Dettaglio pacchetti'!$A$1:$I$530, 9, FALSE), "")
)</f>
        <v>ear</v>
      </c>
      <c r="N34" s="7"/>
      <c r="O34" s="6" t="s">
        <v>15</v>
      </c>
      <c r="P34" s="6" t="s">
        <v>15</v>
      </c>
      <c r="AA34" t="str" cm="1">
        <f t="array" ref="AA34">IFERROR(VLOOKUP(INDEX('[1]Dettaglio pacchetti'!$AB$1:$AB$530, _xlfn.AGGREGATE(15, 6, (ROW($1:$345))/(ISNUMBER(SEARCH('[1]Dettaglio pacchetti'!$AB$1:$AB$530, $C34))), 1)) &amp; "*", '[1]Dettaglio pacchetti'!$A$1:$N$530, 13, FALSE) &amp; "", "")</f>
        <v/>
      </c>
      <c r="AB34" t="str" cm="1">
        <f t="array" ref="AB34">IF(ISNUMBER(SEARCH("dev.azure.com", AA34)), IFERROR(VLOOKUP(INDEX('[1]Dettaglio pacchetti'!$AB$1:$AB$530, _xlfn.AGGREGATE(15, 6, (ROW($1:$345))/(ISNUMBER(SEARCH('[1]Dettaglio pacchetti'!$AB$1:$AB$530, $C34))), 1)) &amp; "*", '[1]Dettaglio pacchetti'!$A$1:$N$530, 1, FALSE) &amp; "", ""), "")</f>
        <v/>
      </c>
      <c r="AC34" t="str" cm="1">
        <f t="array" ref="AC34">IFERROR(
    VLOOKUP(
        INDEX('[1]Dettaglio pacchetti'!$AB$1:$AB$530, _xlfn.AGGREGATE(15,6,ROW($1:$345)/(ISNUMBER(SEARCH('[1]Dettaglio pacchetti'!$AB$1:$AB$530,$C34))),1)) &amp; "*",
        '[1]Dettaglio pacchetti'!$A$1:$I$530,
        7,
        FALSE
    ),
    IFERROR(VLOOKUP($C34, '[1]Dettaglio pacchetti'!$A$1:$I$530, 7, FALSE), "")
)</f>
        <v>INTEGRAZIONE</v>
      </c>
      <c r="AD34" t="str" cm="1">
        <f t="array" ref="AD34">IFERROR(
    VLOOKUP(
        INDEX('[1]Dettaglio pacchetti'!$AB$1:$AB$530, _xlfn.AGGREGATE(15,6,ROW($1:$345)/(ISNUMBER(SEARCH('[1]Dettaglio pacchetti'!$AB$1:$AB$530,$C34))),1)) &amp; "*",
        '[1]Dettaglio pacchetti'!$A$1:$I$530,
        6,
        FALSE
    ),
    IFERROR(VLOOKUP($C34, '[1]Dettaglio pacchetti'!$A$1:$I$530, 6, FALSE), "")
)</f>
        <v>Ikan Alm</v>
      </c>
      <c r="AE34"/>
    </row>
    <row r="35" spans="2:31" s="4" customFormat="1" ht="14.85" customHeight="1" x14ac:dyDescent="0.3">
      <c r="B35" s="17"/>
      <c r="C35" s="14"/>
      <c r="D35" s="14" t="str" cm="1">
        <f t="array" ref="D35">IFERROR(
    _xlfn.LET(
        _xlpm.risultato,
        IFERROR(
            _xlfn.XLOOKUP(TRIM(UPPER(G35)),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pacchetti'!$E$1:$E$530))=TRIM(UPPER(G35)),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35" s="14" t="str" cm="1">
        <f t="array" ref="E35">IF(TRIM($B35)="SG-ANAGRAFE", "Bugni Batte",
    IF(TRIM($B35)="DW01A", "Cauda",
        IFERROR(
            VLOOKUP(
                INDEX('[1]Dettaglio pacchetti'!$AB$1:$AB$530,
                    _xlfn.AGGREGATE(15, 6,
                        (ROW($1:$345))/(ISNUMBER(SEARCH('[1]Dettaglio pacchetti'!$AB$1:$AB$530, $C35))),
                        1)
                ) &amp; "*",
                '[1]Dettaglio pacchetti'!$A$1:$I$530,
                3,
                FALSE
            ),
            IFERROR(VLOOKUP($C35, '[1]Dettaglio pacchetti'!$A$1:$I$530, 3, FALSE), "")
        )
    )
)</f>
        <v/>
      </c>
      <c r="F35" s="14" t="str" cm="1">
        <f t="array" ref="F35">IF(TRIM($B35)="DW01A", "ETL - EDW Estrattori",
    IFERROR(
        VLOOKUP(
            INDEX('[1]Dettaglio pacchetti'!$AB$1:$AB$530,
                _xlfn.AGGREGATE(15, 6,
                    (ROW($1:$345))/(ISNUMBER(SEARCH('[1]Dettaglio pacchetti'!$AB$1:$AB$530, $C35))),
                    1)
            ) &amp; "*",
            '[1]Dettaglio pacchetti'!$A$1:$I$530,
            4,
            FALSE
        ),
        IFERROR(VLOOKUP($C35, '[1]Dettaglio pacchetti'!$A$1:$I$530, 4, FALSE), "")
    )
)</f>
        <v/>
      </c>
      <c r="G35" s="14" t="str" cm="1">
        <f t="array" ref="G35">IF(TRIM($B35)="DW01A", "ETL - EDW Estrattori",
    IF(TRIM($B35)="SG-ANAGRAFE", "SIGEA Anagrafe",
        IFERROR(
            VLOOKUP(
                INDEX('[1]Dettaglio pacchetti'!$AB$1:$AB$530,
                    _xlfn.AGGREGATE(15, 6,
                        (ROW($1:$345))/(ISNUMBER(SEARCH('[1]Dettaglio pacchetti'!$AB$1:$AB$530, $C35))),
                        1)
                ) &amp; "*",
                '[1]Dettaglio pacchetti'!$A$1:$I$530,
                5,
                FALSE
            ),
            IFERROR(VLOOKUP($C35, '[1]Dettaglio pacchetti'!$A$1:$I$530, 5, FALSE), "")
        )
    )
)</f>
        <v/>
      </c>
      <c r="H35" s="14"/>
      <c r="I35" s="7" t="str">
        <f t="shared" si="3"/>
        <v/>
      </c>
      <c r="J35" t="str">
        <f t="shared" si="1"/>
        <v/>
      </c>
      <c r="K35" t="str">
        <f t="shared" si="2"/>
        <v/>
      </c>
      <c r="L35" s="14" t="str" cm="1">
        <f t="array" ref="L35">IFERROR(
    VLOOKUP(
        INDEX('[1]Dettaglio pacchetti'!$AB$1:$AB$530,
            _xlfn.AGGREGATE(15, 6,
                ROW($1:$345)/(ISNUMBER(SEARCH('[1]Dettaglio pacchetti'!$AB$1:$AB$530, $C35))),
                1)
        ) &amp; "*",
        '[1]Dettaglio pacchetti'!$A$1:$I$530,
        8,
        FALSE
    ),
    IFERROR(VLOOKUP($C35, '[1]Dettaglio pacchetti'!$A$1:$I$530, 8, FALSE), "")
)</f>
        <v/>
      </c>
      <c r="M35" s="14" t="str" cm="1">
        <f t="array" ref="M35">IFERROR(
    VLOOKUP(
        INDEX('[1]Dettaglio pacchetti'!$AB$1:$AB$530,
            _xlfn.AGGREGATE(15, 6,
                ROW($1:$345)/(ISNUMBER(SEARCH('[1]Dettaglio pacchetti'!$AB$1:$AB$530, $C35))),
                1)
        ) &amp; "*",
        '[1]Dettaglio pacchetti'!$A$1:$I$530,
        9,
        FALSE
    ),
    IFERROR(VLOOKUP($C35, '[1]Dettaglio pacchetti'!$A$1:$I$530, 9, FALSE), "")
)</f>
        <v/>
      </c>
      <c r="N35" s="7"/>
      <c r="O35" s="6" t="s">
        <v>15</v>
      </c>
      <c r="P35" s="6" t="s">
        <v>15</v>
      </c>
      <c r="AA35" t="str" cm="1">
        <f t="array" ref="AA35">IFERROR(VLOOKUP(INDEX('[1]Dettaglio pacchetti'!$AB$1:$AB$530, _xlfn.AGGREGATE(15, 6, (ROW($1:$345))/(ISNUMBER(SEARCH('[1]Dettaglio pacchetti'!$AB$1:$AB$530, $C35))), 1)) &amp; "*", '[1]Dettaglio pacchetti'!$A$1:$N$530, 13, FALSE) &amp; "", "")</f>
        <v/>
      </c>
      <c r="AB35" t="str" cm="1">
        <f t="array" ref="AB35">IF(ISNUMBER(SEARCH("dev.azure.com", AA35)), IFERROR(VLOOKUP(INDEX('[1]Dettaglio pacchetti'!$AB$1:$AB$530, _xlfn.AGGREGATE(15, 6, (ROW($1:$345))/(ISNUMBER(SEARCH('[1]Dettaglio pacchetti'!$AB$1:$AB$530, $C35))), 1)) &amp; "*", '[1]Dettaglio pacchetti'!$A$1:$N$530, 1, FALSE) &amp; "", ""), "")</f>
        <v/>
      </c>
      <c r="AC35" t="str" cm="1">
        <f t="array" ref="AC35">IFERROR(
    VLOOKUP(
        INDEX('[1]Dettaglio pacchetti'!$AB$1:$AB$530, _xlfn.AGGREGATE(15,6,ROW($1:$345)/(ISNUMBER(SEARCH('[1]Dettaglio pacchetti'!$AB$1:$AB$530,$C35))),1)) &amp; "*",
        '[1]Dettaglio pacchetti'!$A$1:$I$530,
        7,
        FALSE
    ),
    IFERROR(VLOOKUP($C35, '[1]Dettaglio pacchetti'!$A$1:$I$530, 7, FALSE), "")
)</f>
        <v/>
      </c>
      <c r="AD35" t="str" cm="1">
        <f t="array" ref="AD35">IFERROR(
    VLOOKUP(
        INDEX('[1]Dettaglio pacchetti'!$AB$1:$AB$530, _xlfn.AGGREGATE(15,6,ROW($1:$345)/(ISNUMBER(SEARCH('[1]Dettaglio pacchetti'!$AB$1:$AB$530,$C35))),1)) &amp; "*",
        '[1]Dettaglio pacchetti'!$A$1:$I$530,
        6,
        FALSE
    ),
    IFERROR(VLOOKUP($C35, '[1]Dettaglio pacchetti'!$A$1:$I$530, 6, FALSE), "")
)</f>
        <v/>
      </c>
      <c r="AE35"/>
    </row>
    <row r="36" spans="2:31" s="4" customFormat="1" ht="14.85" customHeight="1" x14ac:dyDescent="0.3">
      <c r="B36" s="17"/>
      <c r="C36" s="14"/>
      <c r="D36" s="14" t="str" cm="1">
        <f t="array" ref="D36">IFERROR(
    _xlfn.LET(
        _xlpm.risultato,
        IFERROR(
            _xlfn.XLOOKUP(TRIM(UPPER(G36)),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pacchetti'!$E$1:$E$530))=TRIM(UPPER(G36)),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36" s="14" t="str" cm="1">
        <f t="array" ref="E36">IF(TRIM($B36)="SG-ANAGRAFE", "Bugni Batte",
    IF(TRIM($B36)="DW01A", "Cauda",
        IFERROR(
            VLOOKUP(
                INDEX('[1]Dettaglio pacchetti'!$AB$1:$AB$530,
                    _xlfn.AGGREGATE(15, 6,
                        (ROW($1:$345))/(ISNUMBER(SEARCH('[1]Dettaglio pacchetti'!$AB$1:$AB$530, $C36))),
                        1)
                ) &amp; "*",
                '[1]Dettaglio pacchetti'!$A$1:$I$530,
                3,
                FALSE
            ),
            IFERROR(VLOOKUP($C36, '[1]Dettaglio pacchetti'!$A$1:$I$530, 3, FALSE), "")
        )
    )
)</f>
        <v/>
      </c>
      <c r="F36" s="14" t="str" cm="1">
        <f t="array" ref="F36">IF(TRIM($B36)="DW01A", "ETL - EDW Estrattori",
    IFERROR(
        VLOOKUP(
            INDEX('[1]Dettaglio pacchetti'!$AB$1:$AB$530,
                _xlfn.AGGREGATE(15, 6,
                    (ROW($1:$345))/(ISNUMBER(SEARCH('[1]Dettaglio pacchetti'!$AB$1:$AB$530, $C36))),
                    1)
            ) &amp; "*",
            '[1]Dettaglio pacchetti'!$A$1:$I$530,
            4,
            FALSE
        ),
        IFERROR(VLOOKUP($C36, '[1]Dettaglio pacchetti'!$A$1:$I$530, 4, FALSE), "")
    )
)</f>
        <v/>
      </c>
      <c r="G36" s="14" t="str" cm="1">
        <f t="array" ref="G36">IF(TRIM($B36)="DW01A", "ETL - EDW Estrattori",
    IF(TRIM($B36)="SG-ANAGRAFE", "SIGEA Anagrafe",
        IFERROR(
            VLOOKUP(
                INDEX('[1]Dettaglio pacchetti'!$AB$1:$AB$530,
                    _xlfn.AGGREGATE(15, 6,
                        (ROW($1:$345))/(ISNUMBER(SEARCH('[1]Dettaglio pacchetti'!$AB$1:$AB$530, $C36))),
                        1)
                ) &amp; "*",
                '[1]Dettaglio pacchetti'!$A$1:$I$530,
                5,
                FALSE
            ),
            IFERROR(VLOOKUP($C36, '[1]Dettaglio pacchetti'!$A$1:$I$530, 5, FALSE), "")
        )
    )
)</f>
        <v/>
      </c>
      <c r="H36" s="14"/>
      <c r="I36" s="7" t="str">
        <f t="shared" si="3"/>
        <v/>
      </c>
      <c r="J36" t="str">
        <f t="shared" si="1"/>
        <v/>
      </c>
      <c r="K36" t="str">
        <f t="shared" si="2"/>
        <v/>
      </c>
      <c r="L36" s="14" t="str" cm="1">
        <f t="array" ref="L36">IFERROR(
    VLOOKUP(
        INDEX('[1]Dettaglio pacchetti'!$AB$1:$AB$530,
            _xlfn.AGGREGATE(15, 6,
                ROW($1:$345)/(ISNUMBER(SEARCH('[1]Dettaglio pacchetti'!$AB$1:$AB$530, $C36))),
                1)
        ) &amp; "*",
        '[1]Dettaglio pacchetti'!$A$1:$I$530,
        8,
        FALSE
    ),
    IFERROR(VLOOKUP($C36, '[1]Dettaglio pacchetti'!$A$1:$I$530, 8, FALSE), "")
)</f>
        <v/>
      </c>
      <c r="M36" s="14" t="str" cm="1">
        <f t="array" ref="M36">IFERROR(
    VLOOKUP(
        INDEX('[1]Dettaglio pacchetti'!$AB$1:$AB$530,
            _xlfn.AGGREGATE(15, 6,
                ROW($1:$345)/(ISNUMBER(SEARCH('[1]Dettaglio pacchetti'!$AB$1:$AB$530, $C36))),
                1)
        ) &amp; "*",
        '[1]Dettaglio pacchetti'!$A$1:$I$530,
        9,
        FALSE
    ),
    IFERROR(VLOOKUP($C36, '[1]Dettaglio pacchetti'!$A$1:$I$530, 9, FALSE), "")
)</f>
        <v/>
      </c>
      <c r="N36" s="7"/>
      <c r="O36" s="6" t="s">
        <v>15</v>
      </c>
      <c r="P36" s="6" t="s">
        <v>15</v>
      </c>
      <c r="AA36" t="str" cm="1">
        <f t="array" ref="AA36">IFERROR(VLOOKUP(INDEX('[1]Dettaglio pacchetti'!$AB$1:$AB$530, _xlfn.AGGREGATE(15, 6, (ROW($1:$345))/(ISNUMBER(SEARCH('[1]Dettaglio pacchetti'!$AB$1:$AB$530, $C36))), 1)) &amp; "*", '[1]Dettaglio pacchetti'!$A$1:$N$530, 13, FALSE) &amp; "", "")</f>
        <v/>
      </c>
      <c r="AB36" t="str" cm="1">
        <f t="array" ref="AB36">IF(ISNUMBER(SEARCH("dev.azure.com", AA36)), IFERROR(VLOOKUP(INDEX('[1]Dettaglio pacchetti'!$AB$1:$AB$530, _xlfn.AGGREGATE(15, 6, (ROW($1:$345))/(ISNUMBER(SEARCH('[1]Dettaglio pacchetti'!$AB$1:$AB$530, $C36))), 1)) &amp; "*", '[1]Dettaglio pacchetti'!$A$1:$N$530, 1, FALSE) &amp; "", ""), "")</f>
        <v/>
      </c>
      <c r="AC36" t="str" cm="1">
        <f t="array" ref="AC36">IFERROR(
    VLOOKUP(
        INDEX('[1]Dettaglio pacchetti'!$AB$1:$AB$530, _xlfn.AGGREGATE(15,6,ROW($1:$345)/(ISNUMBER(SEARCH('[1]Dettaglio pacchetti'!$AB$1:$AB$530,$C36))),1)) &amp; "*",
        '[1]Dettaglio pacchetti'!$A$1:$I$530,
        7,
        FALSE
    ),
    IFERROR(VLOOKUP($C36, '[1]Dettaglio pacchetti'!$A$1:$I$530, 7, FALSE), "")
)</f>
        <v/>
      </c>
      <c r="AD36" t="str" cm="1">
        <f t="array" ref="AD36">IFERROR(
    VLOOKUP(
        INDEX('[1]Dettaglio pacchetti'!$AB$1:$AB$530, _xlfn.AGGREGATE(15,6,ROW($1:$345)/(ISNUMBER(SEARCH('[1]Dettaglio pacchetti'!$AB$1:$AB$530,$C36))),1)) &amp; "*",
        '[1]Dettaglio pacchetti'!$A$1:$I$530,
        6,
        FALSE
    ),
    IFERROR(VLOOKUP($C36, '[1]Dettaglio pacchetti'!$A$1:$I$530, 6, FALSE), "")
)</f>
        <v/>
      </c>
      <c r="AE36"/>
    </row>
    <row r="37" spans="2:31" s="4" customFormat="1" ht="14.85" customHeight="1" x14ac:dyDescent="0.3">
      <c r="B37" s="17"/>
      <c r="C37" s="14"/>
      <c r="D37" s="14" t="str" cm="1">
        <f t="array" ref="D37">IFERROR(
    _xlfn.LET(
        _xlpm.risultato,
        IFERROR(
            _xlfn.XLOOKUP(TRIM(UPPER(G37)),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pacchetti'!$E$1:$E$530))=TRIM(UPPER(G37)),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37" s="14" t="str" cm="1">
        <f t="array" ref="E37">IF(TRIM($B37)="SG-ANAGRAFE", "Bugni Batte",
    IF(TRIM($B37)="DW01A", "Cauda",
        IFERROR(
            VLOOKUP(
                INDEX('[1]Dettaglio pacchetti'!$AB$1:$AB$530,
                    _xlfn.AGGREGATE(15, 6,
                        (ROW($1:$345))/(ISNUMBER(SEARCH('[1]Dettaglio pacchetti'!$AB$1:$AB$530, $C37))),
                        1)
                ) &amp; "*",
                '[1]Dettaglio pacchetti'!$A$1:$I$530,
                3,
                FALSE
            ),
            IFERROR(VLOOKUP($C37, '[1]Dettaglio pacchetti'!$A$1:$I$530, 3, FALSE), "")
        )
    )
)</f>
        <v/>
      </c>
      <c r="F37" s="14" t="str" cm="1">
        <f t="array" ref="F37">IF(TRIM($B37)="DW01A", "ETL - EDW Estrattori",
    IFERROR(
        VLOOKUP(
            INDEX('[1]Dettaglio pacchetti'!$AB$1:$AB$530,
                _xlfn.AGGREGATE(15, 6,
                    (ROW($1:$345))/(ISNUMBER(SEARCH('[1]Dettaglio pacchetti'!$AB$1:$AB$530, $C37))),
                    1)
            ) &amp; "*",
            '[1]Dettaglio pacchetti'!$A$1:$I$530,
            4,
            FALSE
        ),
        IFERROR(VLOOKUP($C37, '[1]Dettaglio pacchetti'!$A$1:$I$530, 4, FALSE), "")
    )
)</f>
        <v/>
      </c>
      <c r="G37" s="14" t="str" cm="1">
        <f t="array" ref="G37">IF(TRIM($B37)="DW01A", "ETL - EDW Estrattori",
    IF(TRIM($B37)="SG-ANAGRAFE", "SIGEA Anagrafe",
        IFERROR(
            VLOOKUP(
                INDEX('[1]Dettaglio pacchetti'!$AB$1:$AB$530,
                    _xlfn.AGGREGATE(15, 6,
                        (ROW($1:$345))/(ISNUMBER(SEARCH('[1]Dettaglio pacchetti'!$AB$1:$AB$530, $C37))),
                        1)
                ) &amp; "*",
                '[1]Dettaglio pacchetti'!$A$1:$I$530,
                5,
                FALSE
            ),
            IFERROR(VLOOKUP($C37, '[1]Dettaglio pacchetti'!$A$1:$I$530, 5, FALSE), "")
        )
    )
)</f>
        <v/>
      </c>
      <c r="H37" s="14"/>
      <c r="I37" s="7" t="str">
        <f t="shared" si="3"/>
        <v/>
      </c>
      <c r="J37" t="str">
        <f t="shared" si="1"/>
        <v/>
      </c>
      <c r="K37" t="str">
        <f t="shared" si="2"/>
        <v/>
      </c>
      <c r="L37" s="14" t="str" cm="1">
        <f t="array" ref="L37">IFERROR(
    VLOOKUP(
        INDEX('[1]Dettaglio pacchetti'!$AB$1:$AB$530,
            _xlfn.AGGREGATE(15, 6,
                ROW($1:$345)/(ISNUMBER(SEARCH('[1]Dettaglio pacchetti'!$AB$1:$AB$530, $C37))),
                1)
        ) &amp; "*",
        '[1]Dettaglio pacchetti'!$A$1:$I$530,
        8,
        FALSE
    ),
    IFERROR(VLOOKUP($C37, '[1]Dettaglio pacchetti'!$A$1:$I$530, 8, FALSE), "")
)</f>
        <v/>
      </c>
      <c r="M37" s="14" t="str" cm="1">
        <f t="array" ref="M37">IFERROR(
    VLOOKUP(
        INDEX('[1]Dettaglio pacchetti'!$AB$1:$AB$530,
            _xlfn.AGGREGATE(15, 6,
                ROW($1:$345)/(ISNUMBER(SEARCH('[1]Dettaglio pacchetti'!$AB$1:$AB$530, $C37))),
                1)
        ) &amp; "*",
        '[1]Dettaglio pacchetti'!$A$1:$I$530,
        9,
        FALSE
    ),
    IFERROR(VLOOKUP($C37, '[1]Dettaglio pacchetti'!$A$1:$I$530, 9, FALSE), "")
)</f>
        <v/>
      </c>
      <c r="N37" s="7"/>
      <c r="O37" s="6" t="s">
        <v>15</v>
      </c>
      <c r="P37" s="6" t="s">
        <v>15</v>
      </c>
      <c r="AA37" t="str" cm="1">
        <f t="array" ref="AA37">IFERROR(VLOOKUP(INDEX('[1]Dettaglio pacchetti'!$AB$1:$AB$530, _xlfn.AGGREGATE(15, 6, (ROW($1:$345))/(ISNUMBER(SEARCH('[1]Dettaglio pacchetti'!$AB$1:$AB$530, $C37))), 1)) &amp; "*", '[1]Dettaglio pacchetti'!$A$1:$N$530, 13, FALSE) &amp; "", "")</f>
        <v/>
      </c>
      <c r="AB37" t="str" cm="1">
        <f t="array" ref="AB37">IF(ISNUMBER(SEARCH("dev.azure.com", AA37)), IFERROR(VLOOKUP(INDEX('[1]Dettaglio pacchetti'!$AB$1:$AB$530, _xlfn.AGGREGATE(15, 6, (ROW($1:$345))/(ISNUMBER(SEARCH('[1]Dettaglio pacchetti'!$AB$1:$AB$530, $C37))), 1)) &amp; "*", '[1]Dettaglio pacchetti'!$A$1:$N$530, 1, FALSE) &amp; "", ""), "")</f>
        <v/>
      </c>
      <c r="AC37" t="str" cm="1">
        <f t="array" ref="AC37">IFERROR(
    VLOOKUP(
        INDEX('[1]Dettaglio pacchetti'!$AB$1:$AB$530, _xlfn.AGGREGATE(15,6,ROW($1:$345)/(ISNUMBER(SEARCH('[1]Dettaglio pacchetti'!$AB$1:$AB$530,$C37))),1)) &amp; "*",
        '[1]Dettaglio pacchetti'!$A$1:$I$530,
        7,
        FALSE
    ),
    IFERROR(VLOOKUP($C37, '[1]Dettaglio pacchetti'!$A$1:$I$530, 7, FALSE), "")
)</f>
        <v/>
      </c>
      <c r="AD37" t="str" cm="1">
        <f t="array" ref="AD37">IFERROR(
    VLOOKUP(
        INDEX('[1]Dettaglio pacchetti'!$AB$1:$AB$530, _xlfn.AGGREGATE(15,6,ROW($1:$345)/(ISNUMBER(SEARCH('[1]Dettaglio pacchetti'!$AB$1:$AB$530,$C37))),1)) &amp; "*",
        '[1]Dettaglio pacchetti'!$A$1:$I$530,
        6,
        FALSE
    ),
    IFERROR(VLOOKUP($C37, '[1]Dettaglio pacchetti'!$A$1:$I$530, 6, FALSE), "")
)</f>
        <v/>
      </c>
      <c r="AE37"/>
    </row>
    <row r="38" spans="2:31" s="4" customFormat="1" ht="14.85" customHeight="1" x14ac:dyDescent="0.3">
      <c r="B38" s="17"/>
      <c r="C38" s="14"/>
      <c r="D38" s="14" t="str" cm="1">
        <f t="array" ref="D38">IFERROR(
    _xlfn.LET(
        _xlpm.risultato,
        IFERROR(
            _xlfn.XLOOKUP(TRIM(UPPER(G38)),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pacchetti'!$E$1:$E$530))=TRIM(UPPER(G38)),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38" s="14" t="str" cm="1">
        <f t="array" ref="E38">IF(TRIM($B38)="SG-ANAGRAFE", "Bugni Batte",
    IF(TRIM($B38)="DW01A", "Cauda",
        IFERROR(
            VLOOKUP(
                INDEX('[1]Dettaglio pacchetti'!$AB$1:$AB$530,
                    _xlfn.AGGREGATE(15, 6,
                        (ROW($1:$345))/(ISNUMBER(SEARCH('[1]Dettaglio pacchetti'!$AB$1:$AB$530, $C38))),
                        1)
                ) &amp; "*",
                '[1]Dettaglio pacchetti'!$A$1:$I$530,
                3,
                FALSE
            ),
            IFERROR(VLOOKUP($C38, '[1]Dettaglio pacchetti'!$A$1:$I$530, 3, FALSE), "")
        )
    )
)</f>
        <v/>
      </c>
      <c r="F38" s="14" t="str" cm="1">
        <f t="array" ref="F38">IF(TRIM($B38)="DW01A", "ETL - EDW Estrattori",
    IFERROR(
        VLOOKUP(
            INDEX('[1]Dettaglio pacchetti'!$AB$1:$AB$530,
                _xlfn.AGGREGATE(15, 6,
                    (ROW($1:$345))/(ISNUMBER(SEARCH('[1]Dettaglio pacchetti'!$AB$1:$AB$530, $C38))),
                    1)
            ) &amp; "*",
            '[1]Dettaglio pacchetti'!$A$1:$I$530,
            4,
            FALSE
        ),
        IFERROR(VLOOKUP($C38, '[1]Dettaglio pacchetti'!$A$1:$I$530, 4, FALSE), "")
    )
)</f>
        <v/>
      </c>
      <c r="G38" s="14" t="str" cm="1">
        <f t="array" ref="G38">IF(TRIM($B38)="DW01A", "ETL - EDW Estrattori",
    IF(TRIM($B38)="SG-ANAGRAFE", "SIGEA Anagrafe",
        IFERROR(
            VLOOKUP(
                INDEX('[1]Dettaglio pacchetti'!$AB$1:$AB$530,
                    _xlfn.AGGREGATE(15, 6,
                        (ROW($1:$345))/(ISNUMBER(SEARCH('[1]Dettaglio pacchetti'!$AB$1:$AB$530, $C38))),
                        1)
                ) &amp; "*",
                '[1]Dettaglio pacchetti'!$A$1:$I$530,
                5,
                FALSE
            ),
            IFERROR(VLOOKUP($C38, '[1]Dettaglio pacchetti'!$A$1:$I$530, 5, FALSE), "")
        )
    )
)</f>
        <v/>
      </c>
      <c r="H38" s="14"/>
      <c r="I38" s="7" t="str">
        <f>IF(OR(AA38="", AB38=""), "", HYPERLINK(AA38, AB38))</f>
        <v/>
      </c>
      <c r="J38" t="str">
        <f t="shared" si="1"/>
        <v/>
      </c>
      <c r="K38" t="str">
        <f t="shared" si="2"/>
        <v/>
      </c>
      <c r="L38" s="14" t="str" cm="1">
        <f t="array" ref="L38">IFERROR(
    VLOOKUP(
        INDEX('[1]Dettaglio pacchetti'!$AB$1:$AB$530,
            _xlfn.AGGREGATE(15, 6,
                ROW($1:$345)/(ISNUMBER(SEARCH('[1]Dettaglio pacchetti'!$AB$1:$AB$530, $C38))),
                1)
        ) &amp; "*",
        '[1]Dettaglio pacchetti'!$A$1:$I$530,
        8,
        FALSE
    ),
    IFERROR(VLOOKUP($C38, '[1]Dettaglio pacchetti'!$A$1:$I$530, 8, FALSE), "")
)</f>
        <v/>
      </c>
      <c r="M38" s="14" t="str" cm="1">
        <f t="array" ref="M38">IFERROR(
    VLOOKUP(
        INDEX('[1]Dettaglio pacchetti'!$AB$1:$AB$530,
            _xlfn.AGGREGATE(15, 6,
                ROW($1:$345)/(ISNUMBER(SEARCH('[1]Dettaglio pacchetti'!$AB$1:$AB$530, $C38))),
                1)
        ) &amp; "*",
        '[1]Dettaglio pacchetti'!$A$1:$I$530,
        9,
        FALSE
    ),
    IFERROR(VLOOKUP($C38, '[1]Dettaglio pacchetti'!$A$1:$I$530, 9, FALSE), "")
)</f>
        <v/>
      </c>
      <c r="N38" s="7"/>
      <c r="O38" s="6" t="s">
        <v>15</v>
      </c>
      <c r="P38" s="6" t="s">
        <v>15</v>
      </c>
      <c r="AA38" t="str" cm="1">
        <f t="array" ref="AA38">IFERROR(VLOOKUP(INDEX('[1]Dettaglio pacchetti'!$AB$1:$AB$530, _xlfn.AGGREGATE(15, 6, (ROW($1:$345))/(ISNUMBER(SEARCH('[1]Dettaglio pacchetti'!$AB$1:$AB$530, $C38))), 1)) &amp; "*", '[1]Dettaglio pacchetti'!$A$1:$N$530, 13, FALSE) &amp; "", "")</f>
        <v/>
      </c>
      <c r="AB38" t="str" cm="1">
        <f t="array" ref="AB38">IF(ISNUMBER(SEARCH("dev.azure.com", AA38)), IFERROR(VLOOKUP(INDEX('[1]Dettaglio pacchetti'!$AB$1:$AB$530, _xlfn.AGGREGATE(15, 6, (ROW($1:$345))/(ISNUMBER(SEARCH('[1]Dettaglio pacchetti'!$AB$1:$AB$530, $C38))), 1)) &amp; "*", '[1]Dettaglio pacchetti'!$A$1:$N$530, 1, FALSE) &amp; "", ""), "")</f>
        <v/>
      </c>
      <c r="AC38" t="str" cm="1">
        <f t="array" ref="AC38">IFERROR(
    VLOOKUP(
        INDEX('[1]Dettaglio pacchetti'!$AB$1:$AB$530, _xlfn.AGGREGATE(15,6,ROW($1:$345)/(ISNUMBER(SEARCH('[1]Dettaglio pacchetti'!$AB$1:$AB$530,$C38))),1)) &amp; "*",
        '[1]Dettaglio pacchetti'!$A$1:$I$530,
        7,
        FALSE
    ),
    IFERROR(VLOOKUP($C38, '[1]Dettaglio pacchetti'!$A$1:$I$530, 7, FALSE), "")
)</f>
        <v/>
      </c>
      <c r="AD38" t="str" cm="1">
        <f t="array" ref="AD38">IFERROR(
    VLOOKUP(
        INDEX('[1]Dettaglio pacchetti'!$AB$1:$AB$530, _xlfn.AGGREGATE(15,6,ROW($1:$345)/(ISNUMBER(SEARCH('[1]Dettaglio pacchetti'!$AB$1:$AB$530,$C38))),1)) &amp; "*",
        '[1]Dettaglio pacchetti'!$A$1:$I$530,
        6,
        FALSE
    ),
    IFERROR(VLOOKUP($C38, '[1]Dettaglio pacchetti'!$A$1:$I$530, 6, FALSE), "")
)</f>
        <v/>
      </c>
      <c r="AE38"/>
    </row>
    <row r="39" spans="2:31" s="4" customFormat="1" ht="14.85" customHeight="1" x14ac:dyDescent="0.3">
      <c r="B39" s="17"/>
      <c r="C39" s="14"/>
      <c r="D39" s="14" t="str" cm="1">
        <f t="array" ref="D39">IFERROR(
    _xlfn.LET(
        _xlpm.risultato,
        IFERROR(
            _xlfn.XLOOKUP(TRIM(UPPER(G39)),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pacchetti'!$E$1:$E$530))=TRIM(UPPER(G39)),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39" s="14" t="str" cm="1">
        <f t="array" ref="E39">IF(TRIM($B39)="SG-ANAGRAFE", "Bugni Batte",
    IF(TRIM($B39)="DW01A", "Cauda",
        IFERROR(
            VLOOKUP(
                INDEX('[1]Dettaglio pacchetti'!$AB$1:$AB$530,
                    _xlfn.AGGREGATE(15, 6,
                        (ROW($1:$345))/(ISNUMBER(SEARCH('[1]Dettaglio pacchetti'!$AB$1:$AB$530, $C39))),
                        1)
                ) &amp; "*",
                '[1]Dettaglio pacchetti'!$A$1:$I$530,
                3,
                FALSE
            ),
            IFERROR(VLOOKUP($C39, '[1]Dettaglio pacchetti'!$A$1:$I$530, 3, FALSE), "")
        )
    )
)</f>
        <v/>
      </c>
      <c r="F39" s="14" t="str" cm="1">
        <f t="array" ref="F39">IF(TRIM($B39)="DW01A", "ETL - EDW Estrattori",
    IFERROR(
        VLOOKUP(
            INDEX('[1]Dettaglio pacchetti'!$AB$1:$AB$530,
                _xlfn.AGGREGATE(15, 6,
                    (ROW($1:$345))/(ISNUMBER(SEARCH('[1]Dettaglio pacchetti'!$AB$1:$AB$530, $C39))),
                    1)
            ) &amp; "*",
            '[1]Dettaglio pacchetti'!$A$1:$I$530,
            4,
            FALSE
        ),
        IFERROR(VLOOKUP($C39, '[1]Dettaglio pacchetti'!$A$1:$I$530, 4, FALSE), "")
    )
)</f>
        <v/>
      </c>
      <c r="G39" s="14" t="str" cm="1">
        <f t="array" ref="G39">IF(TRIM($B39)="DW01A", "ETL - EDW Estrattori",
    IF(TRIM($B39)="SG-ANAGRAFE", "SIGEA Anagrafe",
        IFERROR(
            VLOOKUP(
                INDEX('[1]Dettaglio pacchetti'!$AB$1:$AB$530,
                    _xlfn.AGGREGATE(15, 6,
                        (ROW($1:$345))/(ISNUMBER(SEARCH('[1]Dettaglio pacchetti'!$AB$1:$AB$530, $C39))),
                        1)
                ) &amp; "*",
                '[1]Dettaglio pacchetti'!$A$1:$I$530,
                5,
                FALSE
            ),
            IFERROR(VLOOKUP($C39, '[1]Dettaglio pacchetti'!$A$1:$I$530, 5, FALSE), "")
        )
    )
)</f>
        <v/>
      </c>
      <c r="H39" s="14"/>
      <c r="I39" s="7"/>
      <c r="J39" t="str">
        <f t="shared" si="1"/>
        <v/>
      </c>
      <c r="K39" t="str">
        <f t="shared" si="2"/>
        <v/>
      </c>
      <c r="L39" s="14" t="str" cm="1">
        <f t="array" ref="L39">IFERROR(
    VLOOKUP(
        INDEX('[1]Dettaglio pacchetti'!$AB$1:$AB$530,
            _xlfn.AGGREGATE(15, 6,
                ROW($1:$345)/(ISNUMBER(SEARCH('[1]Dettaglio pacchetti'!$AB$1:$AB$530, $C39))),
                1)
        ) &amp; "*",
        '[1]Dettaglio pacchetti'!$A$1:$I$530,
        8,
        FALSE
    ),
    IFERROR(VLOOKUP($C39, '[1]Dettaglio pacchetti'!$A$1:$I$530, 8, FALSE), "")
)</f>
        <v/>
      </c>
      <c r="M39" s="14" t="str" cm="1">
        <f t="array" ref="M39">IFERROR(
    VLOOKUP(
        INDEX('[1]Dettaglio pacchetti'!$AB$1:$AB$530,
            _xlfn.AGGREGATE(15, 6,
                ROW($1:$345)/(ISNUMBER(SEARCH('[1]Dettaglio pacchetti'!$AB$1:$AB$530, $C39))),
                1)
        ) &amp; "*",
        '[1]Dettaglio pacchetti'!$A$1:$I$530,
        9,
        FALSE
    ),
    IFERROR(VLOOKUP($C39, '[1]Dettaglio pacchetti'!$A$1:$I$530, 9, FALSE), "")
)</f>
        <v/>
      </c>
      <c r="N39" s="7"/>
      <c r="O39" s="6" t="s">
        <v>15</v>
      </c>
      <c r="P39" s="6" t="s">
        <v>15</v>
      </c>
      <c r="AA39" t="str" cm="1">
        <f t="array" ref="AA39">IFERROR(VLOOKUP(INDEX('[1]Dettaglio pacchetti'!$AB$1:$AB$530, _xlfn.AGGREGATE(15, 6, (ROW($1:$345))/(ISNUMBER(SEARCH('[1]Dettaglio pacchetti'!$AB$1:$AB$530, $C39))), 1)) &amp; "*", '[1]Dettaglio pacchetti'!$A$1:$N$530, 13, FALSE) &amp; "", "")</f>
        <v/>
      </c>
      <c r="AB39" t="str" cm="1">
        <f t="array" ref="AB39">IF(ISNUMBER(SEARCH("dev.azure.com", AA39)), IFERROR(VLOOKUP(INDEX('[1]Dettaglio pacchetti'!$AB$1:$AB$530, _xlfn.AGGREGATE(15, 6, (ROW($1:$345))/(ISNUMBER(SEARCH('[1]Dettaglio pacchetti'!$AB$1:$AB$530, $C39))), 1)) &amp; "*", '[1]Dettaglio pacchetti'!$A$1:$N$530, 1, FALSE) &amp; "", ""), "")</f>
        <v/>
      </c>
      <c r="AC39" t="str" cm="1">
        <f t="array" ref="AC39">IFERROR(
    VLOOKUP(
        INDEX('[1]Dettaglio pacchetti'!$AB$1:$AB$530, _xlfn.AGGREGATE(15,6,ROW($1:$345)/(ISNUMBER(SEARCH('[1]Dettaglio pacchetti'!$AB$1:$AB$530,$C39))),1)) &amp; "*",
        '[1]Dettaglio pacchetti'!$A$1:$I$530,
        7,
        FALSE
    ),
    IFERROR(VLOOKUP($C39, '[1]Dettaglio pacchetti'!$A$1:$I$530, 7, FALSE), "")
)</f>
        <v/>
      </c>
      <c r="AD39" t="str" cm="1">
        <f t="array" ref="AD39">IFERROR(
    VLOOKUP(
        INDEX('[1]Dettaglio pacchetti'!$AB$1:$AB$530, _xlfn.AGGREGATE(15,6,ROW($1:$345)/(ISNUMBER(SEARCH('[1]Dettaglio pacchetti'!$AB$1:$AB$530,$C39))),1)) &amp; "*",
        '[1]Dettaglio pacchetti'!$A$1:$I$530,
        6,
        FALSE
    ),
    IFERROR(VLOOKUP($C39, '[1]Dettaglio pacchetti'!$A$1:$I$530, 6, FALSE), "")
)</f>
        <v/>
      </c>
      <c r="AE39"/>
    </row>
    <row r="40" spans="2:31" s="4" customFormat="1" ht="14.85" customHeight="1" x14ac:dyDescent="0.3">
      <c r="B40" s="17"/>
      <c r="C40" s="14"/>
      <c r="D40" s="14" t="str" cm="1">
        <f t="array" ref="D40">IFERROR(
    _xlfn.LET(
        _xlpm.risultato,
        IFERROR(
            _xlfn.XLOOKUP(TRIM(UPPER(G40)),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pacchetti'!$E$1:$E$530))=TRIM(UPPER(G40)),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40" s="14" t="str" cm="1">
        <f t="array" ref="E40">IF(TRIM($B40)="SG-ANAGRAFE", "Bugni Batte",
    IF(TRIM($B40)="DW01A", "Cauda",
        IFERROR(
            VLOOKUP(
                INDEX('[1]Dettaglio pacchetti'!$AB$1:$AB$530,
                    _xlfn.AGGREGATE(15, 6,
                        (ROW($1:$345))/(ISNUMBER(SEARCH('[1]Dettaglio pacchetti'!$AB$1:$AB$530, $C40))),
                        1)
                ) &amp; "*",
                '[1]Dettaglio pacchetti'!$A$1:$I$530,
                3,
                FALSE
            ),
            IFERROR(VLOOKUP($C40, '[1]Dettaglio pacchetti'!$A$1:$I$530, 3, FALSE), "")
        )
    )
)</f>
        <v/>
      </c>
      <c r="F40" s="14" t="str" cm="1">
        <f t="array" ref="F40">IF(TRIM($B40)="DW01A", "ETL - EDW Estrattori",
    IFERROR(
        VLOOKUP(
            INDEX('[1]Dettaglio pacchetti'!$AB$1:$AB$530,
                _xlfn.AGGREGATE(15, 6,
                    (ROW($1:$345))/(ISNUMBER(SEARCH('[1]Dettaglio pacchetti'!$AB$1:$AB$530, $C40))),
                    1)
            ) &amp; "*",
            '[1]Dettaglio pacchetti'!$A$1:$I$530,
            4,
            FALSE
        ),
        IFERROR(VLOOKUP($C40, '[1]Dettaglio pacchetti'!$A$1:$I$530, 4, FALSE), "")
    )
)</f>
        <v/>
      </c>
      <c r="G40" s="14" t="str" cm="1">
        <f t="array" ref="G40">IF(TRIM($B40)="DW01A", "ETL - EDW Estrattori",
    IF(TRIM($B40)="SG-ANAGRAFE", "SIGEA Anagrafe",
        IFERROR(
            VLOOKUP(
                INDEX('[1]Dettaglio pacchetti'!$AB$1:$AB$530,
                    _xlfn.AGGREGATE(15, 6,
                        (ROW($1:$345))/(ISNUMBER(SEARCH('[1]Dettaglio pacchetti'!$AB$1:$AB$530, $C40))),
                        1)
                ) &amp; "*",
                '[1]Dettaglio pacchetti'!$A$1:$I$530,
                5,
                FALSE
            ),
            IFERROR(VLOOKUP($C40, '[1]Dettaglio pacchetti'!$A$1:$I$530, 5, FALSE), "")
        )
    )
)</f>
        <v/>
      </c>
      <c r="H40" s="14"/>
      <c r="I40" s="7"/>
      <c r="J40" t="str">
        <f t="shared" si="1"/>
        <v/>
      </c>
      <c r="K40" t="str">
        <f t="shared" si="2"/>
        <v/>
      </c>
      <c r="L40" s="14" t="str" cm="1">
        <f t="array" ref="L40">IFERROR(
    VLOOKUP(
        INDEX('[1]Dettaglio pacchetti'!$AB$1:$AB$530,
            _xlfn.AGGREGATE(15, 6,
                ROW($1:$345)/(ISNUMBER(SEARCH('[1]Dettaglio pacchetti'!$AB$1:$AB$530, $C40))),
                1)
        ) &amp; "*",
        '[1]Dettaglio pacchetti'!$A$1:$I$530,
        8,
        FALSE
    ),
    IFERROR(VLOOKUP($C40, '[1]Dettaglio pacchetti'!$A$1:$I$530, 8, FALSE), "")
)</f>
        <v/>
      </c>
      <c r="M40" s="14" t="str" cm="1">
        <f t="array" ref="M40">IFERROR(
    VLOOKUP(
        INDEX('[1]Dettaglio pacchetti'!$AB$1:$AB$530,
            _xlfn.AGGREGATE(15, 6,
                ROW($1:$345)/(ISNUMBER(SEARCH('[1]Dettaglio pacchetti'!$AB$1:$AB$530, $C40))),
                1)
        ) &amp; "*",
        '[1]Dettaglio pacchetti'!$A$1:$I$530,
        9,
        FALSE
    ),
    IFERROR(VLOOKUP($C40, '[1]Dettaglio pacchetti'!$A$1:$I$530, 9, FALSE), "")
)</f>
        <v/>
      </c>
      <c r="N40" s="7"/>
      <c r="O40" s="6" t="s">
        <v>15</v>
      </c>
      <c r="P40" s="6" t="s">
        <v>15</v>
      </c>
      <c r="AA40" t="str" cm="1">
        <f t="array" ref="AA40">IFERROR(VLOOKUP(INDEX('[1]Dettaglio pacchetti'!$AB$1:$AB$530, _xlfn.AGGREGATE(15, 6, (ROW($1:$345))/(ISNUMBER(SEARCH('[1]Dettaglio pacchetti'!$AB$1:$AB$530, $C40))), 1)) &amp; "*", '[1]Dettaglio pacchetti'!$A$1:$N$530, 13, FALSE) &amp; "", "")</f>
        <v/>
      </c>
      <c r="AB40" t="str" cm="1">
        <f t="array" ref="AB40">IF(ISNUMBER(SEARCH("dev.azure.com", AA40)), IFERROR(VLOOKUP(INDEX('[1]Dettaglio pacchetti'!$AB$1:$AB$530, _xlfn.AGGREGATE(15, 6, (ROW($1:$345))/(ISNUMBER(SEARCH('[1]Dettaglio pacchetti'!$AB$1:$AB$530, $C40))), 1)) &amp; "*", '[1]Dettaglio pacchetti'!$A$1:$N$530, 1, FALSE) &amp; "", ""), "")</f>
        <v/>
      </c>
      <c r="AC40" t="str" cm="1">
        <f t="array" ref="AC40">IFERROR(
    VLOOKUP(
        INDEX('[1]Dettaglio pacchetti'!$AB$1:$AB$530, _xlfn.AGGREGATE(15,6,ROW($1:$345)/(ISNUMBER(SEARCH('[1]Dettaglio pacchetti'!$AB$1:$AB$530,$C40))),1)) &amp; "*",
        '[1]Dettaglio pacchetti'!$A$1:$I$530,
        7,
        FALSE
    ),
    IFERROR(VLOOKUP($C40, '[1]Dettaglio pacchetti'!$A$1:$I$530, 7, FALSE), "")
)</f>
        <v/>
      </c>
      <c r="AD40" t="str" cm="1">
        <f t="array" ref="AD40">IFERROR(
    VLOOKUP(
        INDEX('[1]Dettaglio pacchetti'!$AB$1:$AB$530, _xlfn.AGGREGATE(15,6,ROW($1:$345)/(ISNUMBER(SEARCH('[1]Dettaglio pacchetti'!$AB$1:$AB$530,$C40))),1)) &amp; "*",
        '[1]Dettaglio pacchetti'!$A$1:$I$530,
        6,
        FALSE
    ),
    IFERROR(VLOOKUP($C40, '[1]Dettaglio pacchetti'!$A$1:$I$530, 6, FALSE), "")
)</f>
        <v/>
      </c>
      <c r="AE40"/>
    </row>
    <row r="41" spans="2:31" s="4" customFormat="1" ht="14.85" customHeight="1" x14ac:dyDescent="0.3">
      <c r="B41" s="17"/>
      <c r="C41" s="14"/>
      <c r="D41" s="14" t="str" cm="1">
        <f t="array" ref="D41">IFERROR(
    _xlfn.LET(
        _xlpm.risultato,
        IFERROR(
            _xlfn.XLOOKUP(TRIM(UPPER(G41)),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pacchetti'!$E$1:$E$530))=TRIM(UPPER(G41)),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41" s="14" t="str" cm="1">
        <f t="array" ref="E41">IF(TRIM($B41)="SG-ANAGRAFE", "Bugni Batte",
    IF(TRIM($B41)="DW01A", "Cauda",
        IFERROR(
            VLOOKUP(
                INDEX('[1]Dettaglio pacchetti'!$AB$1:$AB$530,
                    _xlfn.AGGREGATE(15, 6,
                        (ROW($1:$345))/(ISNUMBER(SEARCH('[1]Dettaglio pacchetti'!$AB$1:$AB$530, $C41))),
                        1)
                ) &amp; "*",
                '[1]Dettaglio pacchetti'!$A$1:$I$530,
                3,
                FALSE
            ),
            IFERROR(VLOOKUP($C41, '[1]Dettaglio pacchetti'!$A$1:$I$530, 3, FALSE), "")
        )
    )
)</f>
        <v/>
      </c>
      <c r="F41" s="14" t="str" cm="1">
        <f t="array" ref="F41">IF(TRIM($B41)="DW01A", "ETL - EDW Estrattori",
    IFERROR(
        VLOOKUP(
            INDEX('[1]Dettaglio pacchetti'!$AB$1:$AB$530,
                _xlfn.AGGREGATE(15, 6,
                    (ROW($1:$345))/(ISNUMBER(SEARCH('[1]Dettaglio pacchetti'!$AB$1:$AB$530, $C41))),
                    1)
            ) &amp; "*",
            '[1]Dettaglio pacchetti'!$A$1:$I$530,
            4,
            FALSE
        ),
        IFERROR(VLOOKUP($C41, '[1]Dettaglio pacchetti'!$A$1:$I$530, 4, FALSE), "")
    )
)</f>
        <v/>
      </c>
      <c r="G41" s="14" t="str" cm="1">
        <f t="array" ref="G41">IF(TRIM($B41)="DW01A", "ETL - EDW Estrattori",
    IF(TRIM($B41)="SG-ANAGRAFE", "SIGEA Anagrafe",
        IFERROR(
            VLOOKUP(
                INDEX('[1]Dettaglio pacchetti'!$AB$1:$AB$530,
                    _xlfn.AGGREGATE(15, 6,
                        (ROW($1:$345))/(ISNUMBER(SEARCH('[1]Dettaglio pacchetti'!$AB$1:$AB$530, $C41))),
                        1)
                ) &amp; "*",
                '[1]Dettaglio pacchetti'!$A$1:$I$530,
                5,
                FALSE
            ),
            IFERROR(VLOOKUP($C41, '[1]Dettaglio pacchetti'!$A$1:$I$530, 5, FALSE), "")
        )
    )
)</f>
        <v/>
      </c>
      <c r="H41" s="14"/>
      <c r="I41" s="7"/>
      <c r="J41" t="str">
        <f t="shared" si="1"/>
        <v/>
      </c>
      <c r="K41" t="str">
        <f t="shared" si="2"/>
        <v/>
      </c>
      <c r="L41" s="14" t="str" cm="1">
        <f t="array" ref="L41">IFERROR(
    VLOOKUP(
        INDEX('[1]Dettaglio pacchetti'!$AB$1:$AB$530,
            _xlfn.AGGREGATE(15, 6,
                ROW($1:$345)/(ISNUMBER(SEARCH('[1]Dettaglio pacchetti'!$AB$1:$AB$530, $C41))),
                1)
        ) &amp; "*",
        '[1]Dettaglio pacchetti'!$A$1:$I$530,
        8,
        FALSE
    ),
    IFERROR(VLOOKUP($C41, '[1]Dettaglio pacchetti'!$A$1:$I$530, 8, FALSE), "")
)</f>
        <v/>
      </c>
      <c r="M41" s="14" t="str" cm="1">
        <f t="array" ref="M41">IFERROR(
    VLOOKUP(
        INDEX('[1]Dettaglio pacchetti'!$AB$1:$AB$530,
            _xlfn.AGGREGATE(15, 6,
                ROW($1:$345)/(ISNUMBER(SEARCH('[1]Dettaglio pacchetti'!$AB$1:$AB$530, $C41))),
                1)
        ) &amp; "*",
        '[1]Dettaglio pacchetti'!$A$1:$I$530,
        9,
        FALSE
    ),
    IFERROR(VLOOKUP($C41, '[1]Dettaglio pacchetti'!$A$1:$I$530, 9, FALSE), "")
)</f>
        <v/>
      </c>
      <c r="N41" s="7"/>
      <c r="O41" s="6" t="s">
        <v>15</v>
      </c>
      <c r="P41" s="6" t="s">
        <v>15</v>
      </c>
      <c r="AA41" t="str" cm="1">
        <f t="array" ref="AA41">IFERROR(VLOOKUP(INDEX('[1]Dettaglio pacchetti'!$AB$1:$AB$530, _xlfn.AGGREGATE(15, 6, (ROW($1:$345))/(ISNUMBER(SEARCH('[1]Dettaglio pacchetti'!$AB$1:$AB$530, $C41))), 1)) &amp; "*", '[1]Dettaglio pacchetti'!$A$1:$N$530, 13, FALSE) &amp; "", "")</f>
        <v/>
      </c>
      <c r="AB41" t="str" cm="1">
        <f t="array" ref="AB41">IF(ISNUMBER(SEARCH("dev.azure.com", AA41)), IFERROR(VLOOKUP(INDEX('[1]Dettaglio pacchetti'!$AB$1:$AB$530, _xlfn.AGGREGATE(15, 6, (ROW($1:$345))/(ISNUMBER(SEARCH('[1]Dettaglio pacchetti'!$AB$1:$AB$530, $C41))), 1)) &amp; "*", '[1]Dettaglio pacchetti'!$A$1:$N$530, 1, FALSE) &amp; "", ""), "")</f>
        <v/>
      </c>
      <c r="AC41" t="str" cm="1">
        <f t="array" ref="AC41">IFERROR(
    VLOOKUP(
        INDEX('[1]Dettaglio pacchetti'!$AB$1:$AB$530, _xlfn.AGGREGATE(15,6,ROW($1:$345)/(ISNUMBER(SEARCH('[1]Dettaglio pacchetti'!$AB$1:$AB$530,$C41))),1)) &amp; "*",
        '[1]Dettaglio pacchetti'!$A$1:$I$530,
        7,
        FALSE
    ),
    IFERROR(VLOOKUP($C41, '[1]Dettaglio pacchetti'!$A$1:$I$530, 7, FALSE), "")
)</f>
        <v/>
      </c>
      <c r="AD41" t="str" cm="1">
        <f t="array" ref="AD41">IFERROR(
    VLOOKUP(
        INDEX('[1]Dettaglio pacchetti'!$AB$1:$AB$530, _xlfn.AGGREGATE(15,6,ROW($1:$345)/(ISNUMBER(SEARCH('[1]Dettaglio pacchetti'!$AB$1:$AB$530,$C41))),1)) &amp; "*",
        '[1]Dettaglio pacchetti'!$A$1:$I$530,
        6,
        FALSE
    ),
    IFERROR(VLOOKUP($C41, '[1]Dettaglio pacchetti'!$A$1:$I$530, 6, FALSE), "")
)</f>
        <v/>
      </c>
      <c r="AE41"/>
    </row>
    <row r="42" spans="2:31" s="4" customFormat="1" ht="14.85" customHeight="1" x14ac:dyDescent="0.3">
      <c r="B42" s="17"/>
      <c r="C42" s="14"/>
      <c r="D42" s="14" t="str" cm="1">
        <f t="array" ref="D42">IFERROR(
    _xlfn.LET(
        _xlpm.risultato,
        IFERROR(
            _xlfn.XLOOKUP(TRIM(UPPER(G42)),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pacchetti'!$E$1:$E$530))=TRIM(UPPER(G42)),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42" s="14" t="str" cm="1">
        <f t="array" ref="E42">IF(TRIM($B42)="SG-ANAGRAFE", "Bugni Batte",
    IF(TRIM($B42)="DW01A", "Cauda",
        IFERROR(
            VLOOKUP(
                INDEX('[1]Dettaglio pacchetti'!$AB$1:$AB$530,
                    _xlfn.AGGREGATE(15, 6,
                        (ROW($1:$345))/(ISNUMBER(SEARCH('[1]Dettaglio pacchetti'!$AB$1:$AB$530, $C42))),
                        1)
                ) &amp; "*",
                '[1]Dettaglio pacchetti'!$A$1:$I$530,
                3,
                FALSE
            ),
            IFERROR(VLOOKUP($C42, '[1]Dettaglio pacchetti'!$A$1:$I$530, 3, FALSE), "")
        )
    )
)</f>
        <v/>
      </c>
      <c r="F42" s="14" t="str" cm="1">
        <f t="array" ref="F42">IF(TRIM($B42)="DW01A", "ETL - EDW Estrattori",
    IFERROR(
        VLOOKUP(
            INDEX('[1]Dettaglio pacchetti'!$AB$1:$AB$530,
                _xlfn.AGGREGATE(15, 6,
                    (ROW($1:$345))/(ISNUMBER(SEARCH('[1]Dettaglio pacchetti'!$AB$1:$AB$530, $C42))),
                    1)
            ) &amp; "*",
            '[1]Dettaglio pacchetti'!$A$1:$I$530,
            4,
            FALSE
        ),
        IFERROR(VLOOKUP($C42, '[1]Dettaglio pacchetti'!$A$1:$I$530, 4, FALSE), "")
    )
)</f>
        <v/>
      </c>
      <c r="G42" s="14" t="str" cm="1">
        <f t="array" ref="G42">IF(TRIM($B42)="DW01A", "ETL - EDW Estrattori",
    IF(TRIM($B42)="SG-ANAGRAFE", "SIGEA Anagrafe",
        IFERROR(
            VLOOKUP(
                INDEX('[1]Dettaglio pacchetti'!$AB$1:$AB$530,
                    _xlfn.AGGREGATE(15, 6,
                        (ROW($1:$345))/(ISNUMBER(SEARCH('[1]Dettaglio pacchetti'!$AB$1:$AB$530, $C42))),
                        1)
                ) &amp; "*",
                '[1]Dettaglio pacchetti'!$A$1:$I$530,
                5,
                FALSE
            ),
            IFERROR(VLOOKUP($C42, '[1]Dettaglio pacchetti'!$A$1:$I$530, 5, FALSE), "")
        )
    )
)</f>
        <v/>
      </c>
      <c r="H42" s="14"/>
      <c r="I42" s="7"/>
      <c r="J42" t="str">
        <f t="shared" si="1"/>
        <v/>
      </c>
      <c r="K42" t="str">
        <f t="shared" si="2"/>
        <v/>
      </c>
      <c r="L42" s="14" t="str" cm="1">
        <f t="array" ref="L42">IFERROR(
    VLOOKUP(
        INDEX('[1]Dettaglio pacchetti'!$AB$1:$AB$530,
            _xlfn.AGGREGATE(15, 6,
                ROW($1:$345)/(ISNUMBER(SEARCH('[1]Dettaglio pacchetti'!$AB$1:$AB$530, $C42))),
                1)
        ) &amp; "*",
        '[1]Dettaglio pacchetti'!$A$1:$I$530,
        8,
        FALSE
    ),
    IFERROR(VLOOKUP($C42, '[1]Dettaglio pacchetti'!$A$1:$I$530, 8, FALSE), "")
)</f>
        <v/>
      </c>
      <c r="M42" s="14" t="str" cm="1">
        <f t="array" ref="M42">IFERROR(
    VLOOKUP(
        INDEX('[1]Dettaglio pacchetti'!$AB$1:$AB$530,
            _xlfn.AGGREGATE(15, 6,
                ROW($1:$345)/(ISNUMBER(SEARCH('[1]Dettaglio pacchetti'!$AB$1:$AB$530, $C42))),
                1)
        ) &amp; "*",
        '[1]Dettaglio pacchetti'!$A$1:$I$530,
        9,
        FALSE
    ),
    IFERROR(VLOOKUP($C42, '[1]Dettaglio pacchetti'!$A$1:$I$530, 9, FALSE), "")
)</f>
        <v/>
      </c>
      <c r="N42" s="7"/>
      <c r="O42" s="6" t="s">
        <v>15</v>
      </c>
      <c r="P42" s="6" t="s">
        <v>15</v>
      </c>
      <c r="AA42" t="str" cm="1">
        <f t="array" ref="AA42">IFERROR(VLOOKUP(INDEX('[1]Dettaglio pacchetti'!$AB$1:$AB$530, _xlfn.AGGREGATE(15, 6, (ROW($1:$345))/(ISNUMBER(SEARCH('[1]Dettaglio pacchetti'!$AB$1:$AB$530, $C42))), 1)) &amp; "*", '[1]Dettaglio pacchetti'!$A$1:$N$530, 13, FALSE) &amp; "", "")</f>
        <v/>
      </c>
      <c r="AB42" t="str" cm="1">
        <f t="array" ref="AB42">IF(ISNUMBER(SEARCH("dev.azure.com", AA42)), IFERROR(VLOOKUP(INDEX('[1]Dettaglio pacchetti'!$AB$1:$AB$530, _xlfn.AGGREGATE(15, 6, (ROW($1:$345))/(ISNUMBER(SEARCH('[1]Dettaglio pacchetti'!$AB$1:$AB$530, $C42))), 1)) &amp; "*", '[1]Dettaglio pacchetti'!$A$1:$N$530, 1, FALSE) &amp; "", ""), "")</f>
        <v/>
      </c>
      <c r="AC42" t="str" cm="1">
        <f t="array" ref="AC42">IFERROR(
    VLOOKUP(
        INDEX('[1]Dettaglio pacchetti'!$AB$1:$AB$530, _xlfn.AGGREGATE(15,6,ROW($1:$345)/(ISNUMBER(SEARCH('[1]Dettaglio pacchetti'!$AB$1:$AB$530,$C42))),1)) &amp; "*",
        '[1]Dettaglio pacchetti'!$A$1:$I$530,
        7,
        FALSE
    ),
    IFERROR(VLOOKUP($C42, '[1]Dettaglio pacchetti'!$A$1:$I$530, 7, FALSE), "")
)</f>
        <v/>
      </c>
      <c r="AD42" t="str" cm="1">
        <f t="array" ref="AD42">IFERROR(
    VLOOKUP(
        INDEX('[1]Dettaglio pacchetti'!$AB$1:$AB$530, _xlfn.AGGREGATE(15,6,ROW($1:$345)/(ISNUMBER(SEARCH('[1]Dettaglio pacchetti'!$AB$1:$AB$530,$C42))),1)) &amp; "*",
        '[1]Dettaglio pacchetti'!$A$1:$I$530,
        6,
        FALSE
    ),
    IFERROR(VLOOKUP($C42, '[1]Dettaglio pacchetti'!$A$1:$I$530, 6, FALSE), "")
)</f>
        <v/>
      </c>
      <c r="AE42"/>
    </row>
    <row r="43" spans="2:31" s="4" customFormat="1" ht="12.75" hidden="1" customHeight="1" x14ac:dyDescent="0.3">
      <c r="B43" s="17"/>
      <c r="C43" s="59" t="s">
        <v>186</v>
      </c>
      <c r="D43" s="20" t="str" cm="1">
        <f t="array" ref="D43">IFERROR(
    _xlfn.LET(
        _xlpm.risultato,
        IFERROR(
            _xlfn.XLOOKUP(TRIM(UPPER(G43)),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pacchetti'!$E$1:$E$530))=TRIM(UPPER(G43)),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>C20260821_0008</v>
      </c>
      <c r="E43" s="14" t="str" cm="1">
        <f t="array" ref="E43">IF(TRIM($B43)="SG-ANAGRAFE", "Bugni Batte",
    IF(TRIM($B43)="DW01A", "Cauda",
        IFERROR(
            VLOOKUP(
                INDEX('[1]Dettaglio pacchetti'!$AB$1:$AB$530,
                    _xlfn.AGGREGATE(15, 6,
                        (ROW($1:$345))/(ISNUMBER(SEARCH('[1]Dettaglio pacchetti'!$AB$1:$AB$530, $C43))),
                        1)
                ) &amp; "*",
                '[1]Dettaglio pacchetti'!$A$1:$I$530,
                3,
                FALSE
            ),
            IFERROR(VLOOKUP($C43, '[1]Dettaglio pacchetti'!$A$1:$I$530, 3, FALSE), "")
        )
    )
)</f>
        <v>Treno Sinistri</v>
      </c>
      <c r="F43" s="14" t="str" cm="1">
        <f t="array" ref="F43">IF(TRIM($B43)="DW01A", "ETL - EDW Estrattori",
    IFERROR(
        VLOOKUP(
            INDEX('[1]Dettaglio pacchetti'!$AB$1:$AB$530,
                _xlfn.AGGREGATE(15, 6,
                    (ROW($1:$345))/(ISNUMBER(SEARCH('[1]Dettaglio pacchetti'!$AB$1:$AB$530, $C43))),
                    1)
            ) &amp; "*",
            '[1]Dettaglio pacchetti'!$A$1:$I$530,
            4,
            FALSE
        ),
        IFERROR(VLOOKUP($C43, '[1]Dettaglio pacchetti'!$A$1:$I$530, 4, FALSE), "")
    )
)</f>
        <v>Rilascio tuxedo Sigea Sinistri SS01OTX</v>
      </c>
      <c r="G43" s="14" t="str" cm="1">
        <f t="array" ref="G43">IF(TRIM($B43)="DW01A", "ETL - EDW Estrattori",
    IF(TRIM($B43)="SG-ANAGRAFE", "SIGEA Anagrafe",
        IFERROR(
            VLOOKUP(
                INDEX('[1]Dettaglio pacchetti'!$AB$1:$AB$530,
                    _xlfn.AGGREGATE(15, 6,
                        (ROW($1:$345))/(ISNUMBER(SEARCH('[1]Dettaglio pacchetti'!$AB$1:$AB$530, $C43))),
                        1)
                ) &amp; "*",
                '[1]Dettaglio pacchetti'!$A$1:$I$530,
                5,
                FALSE
            ),
            IFERROR(VLOOKUP($C43, '[1]Dettaglio pacchetti'!$A$1:$I$530, 5, FALSE), "")
        )
    )
)</f>
        <v>SIGEA Sinistri</v>
      </c>
      <c r="H43" s="14" t="str" cm="1">
        <f t="array" ref="H43">IFERROR(
    VLOOKUP(
        INDEX('[1]Dettaglio pacchetti'!$AB$1:$AB$530,
            _xlfn.AGGREGATE(15, 6,
                (ROW($1:$345))/(ISNUMBER(SEARCH('[1]Dettaglio pacchetti'!$AB$1:$AB$530, $C43))),
                1)
        ) &amp; "*",
        '[1]Dettaglio pacchetti'!$A$1:$I$530,
        6,
        FALSE
    ),
    IFERROR(VLOOKUP($C43, '[1]Dettaglio pacchetti'!$A$1:$I$530, 6, FALSE), "")
)</f>
        <v>Ikan Alm</v>
      </c>
      <c r="I43" s="7" t="str">
        <f t="shared" si="3"/>
        <v/>
      </c>
      <c r="J43" t="str">
        <f t="shared" si="1"/>
        <v/>
      </c>
      <c r="K43" t="str">
        <f t="shared" si="2"/>
        <v>SS01OTXB_correttiva-R01</v>
      </c>
      <c r="L43" s="14" t="str" cm="1">
        <f t="array" ref="L43">IFERROR(
    VLOOKUP(
        INDEX('[1]Dettaglio pacchetti'!$AB$1:$AB$530,
            _xlfn.AGGREGATE(15, 6,
                ROW($1:$345)/(ISNUMBER(SEARCH('[1]Dettaglio pacchetti'!$AB$1:$AB$530, $C43))),
                1)
        ) &amp; "*",
        '[1]Dettaglio pacchetti'!$A$1:$I$530,
        8,
        FALSE
    ),
    IFERROR(VLOOKUP($C43, '[1]Dettaglio pacchetti'!$A$1:$I$530, 8, FALSE), "")
)</f>
        <v>23.00</v>
      </c>
      <c r="M43" s="14" t="str" cm="1">
        <f t="array" ref="M43">IFERROR(
    VLOOKUP(
        INDEX('[1]Dettaglio pacchetti'!$AB$1:$AB$530,
            _xlfn.AGGREGATE(15, 6,
                ROW($1:$345)/(ISNUMBER(SEARCH('[1]Dettaglio pacchetti'!$AB$1:$AB$530, $C43))),
                1)
        ) &amp; "*",
        '[1]Dettaglio pacchetti'!$A$1:$I$530,
        9,
        FALSE
    ),
    IFERROR(VLOOKUP($C43, '[1]Dettaglio pacchetti'!$A$1:$I$530, 9, FALSE), "")
)</f>
        <v>tuxedo</v>
      </c>
      <c r="N43" s="7"/>
      <c r="O43" s="6" t="s">
        <v>15</v>
      </c>
      <c r="P43" s="6" t="s">
        <v>15</v>
      </c>
      <c r="AA43" t="str" cm="1">
        <f t="array" ref="AA43">IFERROR(VLOOKUP(INDEX('[1]Dettaglio pacchetti'!$AB$1:$AB$530, _xlfn.AGGREGATE(15, 6, (ROW($1:$345))/(ISNUMBER(SEARCH('[1]Dettaglio pacchetti'!$AB$1:$AB$530, $C43))), 1)) &amp; "*", '[1]Dettaglio pacchetti'!$A$1:$N$530, 13, FALSE) &amp; "", "")</f>
        <v/>
      </c>
      <c r="AB43" t="str" cm="1">
        <f t="array" ref="AB43">IF(ISNUMBER(SEARCH("dev.azure.com", AA43)), IFERROR(VLOOKUP(INDEX('[1]Dettaglio pacchetti'!$AB$1:$AB$530, _xlfn.AGGREGATE(15, 6, (ROW($1:$345))/(ISNUMBER(SEARCH('[1]Dettaglio pacchetti'!$AB$1:$AB$530, $C43))), 1)) &amp; "*", '[1]Dettaglio pacchetti'!$A$1:$N$530, 1, FALSE) &amp; "", ""), "")</f>
        <v/>
      </c>
      <c r="AC43" t="str" cm="1">
        <f t="array" ref="AC43">IFERROR(
    VLOOKUP(
        INDEX('[1]Dettaglio pacchetti'!$AB$1:$AB$530, _xlfn.AGGREGATE(15,6,ROW($1:$345)/(ISNUMBER(SEARCH('[1]Dettaglio pacchetti'!$AB$1:$AB$530,$C43))),1)) &amp; "*",
        '[1]Dettaglio pacchetti'!$A$1:$I$530,
        7,
        FALSE
    ),
    IFERROR(VLOOKUP($C43, '[1]Dettaglio pacchetti'!$A$1:$I$530, 7, FALSE), "")
)</f>
        <v>SS01OTXB_correttiva-R01</v>
      </c>
      <c r="AD43" t="str" cm="1">
        <f t="array" ref="AD43">IFERROR(
    VLOOKUP(
        INDEX('[1]Dettaglio pacchetti'!$AB$1:$AB$530, _xlfn.AGGREGATE(15,6,ROW($1:$345)/(ISNUMBER(SEARCH('[1]Dettaglio pacchetti'!$AB$1:$AB$530,$C43))),1)) &amp; "*",
        '[1]Dettaglio pacchetti'!$A$1:$I$530,
        6,
        FALSE
    ),
    IFERROR(VLOOKUP($C43, '[1]Dettaglio pacchetti'!$A$1:$I$530, 6, FALSE), "")
)</f>
        <v>Ikan Alm</v>
      </c>
      <c r="AE43"/>
    </row>
    <row r="44" spans="2:31" s="4" customFormat="1" ht="14.85" customHeight="1" x14ac:dyDescent="0.3">
      <c r="B44" s="17"/>
      <c r="C44" s="14"/>
      <c r="D44" s="14" t="str" cm="1">
        <f t="array" ref="D44">IFERROR(
    _xlfn.LET(
        _xlpm.risultato,
        IFERROR(
            _xlfn.XLOOKUP(TRIM(UPPER(G44)),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pacchetti'!$E$1:$E$530))=TRIM(UPPER(G44)),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44" s="14" t="str" cm="1">
        <f t="array" ref="E44">IF(TRIM($B44)="SG-ANAGRAFE", "Bugni Batte",
    IF(TRIM($B44)="DW01A", "Cauda",
        IFERROR(
            VLOOKUP(
                INDEX('[1]Dettaglio pacchetti'!$AB$1:$AB$530,
                    _xlfn.AGGREGATE(15, 6,
                        (ROW($1:$345))/(ISNUMBER(SEARCH('[1]Dettaglio pacchetti'!$AB$1:$AB$530, $C44))),
                        1)
                ) &amp; "*",
                '[1]Dettaglio pacchetti'!$A$1:$I$530,
                3,
                FALSE
            ),
            IFERROR(VLOOKUP($C44, '[1]Dettaglio pacchetti'!$A$1:$I$530, 3, FALSE), "")
        )
    )
)</f>
        <v/>
      </c>
      <c r="F44" s="14" t="str" cm="1">
        <f t="array" ref="F44">IF(TRIM($B44)="DW01A", "ETL - EDW Estrattori",
    IFERROR(
        VLOOKUP(
            INDEX('[1]Dettaglio pacchetti'!$AB$1:$AB$530,
                _xlfn.AGGREGATE(15, 6,
                    (ROW($1:$345))/(ISNUMBER(SEARCH('[1]Dettaglio pacchetti'!$AB$1:$AB$530, $C44))),
                    1)
            ) &amp; "*",
            '[1]Dettaglio pacchetti'!$A$1:$I$530,
            4,
            FALSE
        ),
        IFERROR(VLOOKUP($C44, '[1]Dettaglio pacchetti'!$A$1:$I$530, 4, FALSE), "")
    )
)</f>
        <v/>
      </c>
      <c r="G44" s="14" t="str" cm="1">
        <f t="array" ref="G44">IF(TRIM($B44)="DW01A", "ETL - EDW Estrattori",
    IF(TRIM($B44)="SG-ANAGRAFE", "SIGEA Anagrafe",
        IFERROR(
            VLOOKUP(
                INDEX('[1]Dettaglio pacchetti'!$AB$1:$AB$530,
                    _xlfn.AGGREGATE(15, 6,
                        (ROW($1:$345))/(ISNUMBER(SEARCH('[1]Dettaglio pacchetti'!$AB$1:$AB$530, $C44))),
                        1)
                ) &amp; "*",
                '[1]Dettaglio pacchetti'!$A$1:$I$530,
                5,
                FALSE
            ),
            IFERROR(VLOOKUP($C44, '[1]Dettaglio pacchetti'!$A$1:$I$530, 5, FALSE), "")
        )
    )
)</f>
        <v/>
      </c>
      <c r="H44" s="14"/>
      <c r="I44" s="7"/>
      <c r="J44" t="str">
        <f t="shared" si="1"/>
        <v/>
      </c>
      <c r="K44" t="str">
        <f t="shared" si="2"/>
        <v/>
      </c>
      <c r="L44" s="14" t="str" cm="1">
        <f t="array" ref="L44">IFERROR(
    VLOOKUP(
        INDEX('[1]Dettaglio pacchetti'!$AB$1:$AB$530,
            _xlfn.AGGREGATE(15, 6,
                ROW($1:$345)/(ISNUMBER(SEARCH('[1]Dettaglio pacchetti'!$AB$1:$AB$530, $C44))),
                1)
        ) &amp; "*",
        '[1]Dettaglio pacchetti'!$A$1:$I$530,
        8,
        FALSE
    ),
    IFERROR(VLOOKUP($C44, '[1]Dettaglio pacchetti'!$A$1:$I$530, 8, FALSE), "")
)</f>
        <v/>
      </c>
      <c r="M44" s="14" t="str" cm="1">
        <f t="array" ref="M44">IFERROR(
    VLOOKUP(
        INDEX('[1]Dettaglio pacchetti'!$AB$1:$AB$530,
            _xlfn.AGGREGATE(15, 6,
                ROW($1:$345)/(ISNUMBER(SEARCH('[1]Dettaglio pacchetti'!$AB$1:$AB$530, $C44))),
                1)
        ) &amp; "*",
        '[1]Dettaglio pacchetti'!$A$1:$I$530,
        9,
        FALSE
    ),
    IFERROR(VLOOKUP($C44, '[1]Dettaglio pacchetti'!$A$1:$I$530, 9, FALSE), "")
)</f>
        <v/>
      </c>
      <c r="N44" s="7"/>
      <c r="O44" s="6" t="s">
        <v>15</v>
      </c>
      <c r="P44" s="6" t="s">
        <v>15</v>
      </c>
      <c r="AA44" t="str" cm="1">
        <f t="array" ref="AA44">IFERROR(VLOOKUP(INDEX('[1]Dettaglio pacchetti'!$AB$1:$AB$530, _xlfn.AGGREGATE(15, 6, (ROW($1:$345))/(ISNUMBER(SEARCH('[1]Dettaglio pacchetti'!$AB$1:$AB$530, $C44))), 1)) &amp; "*", '[1]Dettaglio pacchetti'!$A$1:$N$530, 13, FALSE) &amp; "", "")</f>
        <v/>
      </c>
      <c r="AB44" t="str" cm="1">
        <f t="array" ref="AB44">IF(ISNUMBER(SEARCH("dev.azure.com", AA44)), IFERROR(VLOOKUP(INDEX('[1]Dettaglio pacchetti'!$AB$1:$AB$530, _xlfn.AGGREGATE(15, 6, (ROW($1:$345))/(ISNUMBER(SEARCH('[1]Dettaglio pacchetti'!$AB$1:$AB$530, $C44))), 1)) &amp; "*", '[1]Dettaglio pacchetti'!$A$1:$N$530, 1, FALSE) &amp; "", ""), "")</f>
        <v/>
      </c>
      <c r="AC44" t="str" cm="1">
        <f t="array" ref="AC44">IFERROR(
    VLOOKUP(
        INDEX('[1]Dettaglio pacchetti'!$AB$1:$AB$530, _xlfn.AGGREGATE(15,6,ROW($1:$345)/(ISNUMBER(SEARCH('[1]Dettaglio pacchetti'!$AB$1:$AB$530,$C44))),1)) &amp; "*",
        '[1]Dettaglio pacchetti'!$A$1:$I$530,
        7,
        FALSE
    ),
    IFERROR(VLOOKUP($C44, '[1]Dettaglio pacchetti'!$A$1:$I$530, 7, FALSE), "")
)</f>
        <v/>
      </c>
      <c r="AD44" t="str" cm="1">
        <f t="array" ref="AD44">IFERROR(
    VLOOKUP(
        INDEX('[1]Dettaglio pacchetti'!$AB$1:$AB$530, _xlfn.AGGREGATE(15,6,ROW($1:$345)/(ISNUMBER(SEARCH('[1]Dettaglio pacchetti'!$AB$1:$AB$530,$C44))),1)) &amp; "*",
        '[1]Dettaglio pacchetti'!$A$1:$I$530,
        6,
        FALSE
    ),
    IFERROR(VLOOKUP($C44, '[1]Dettaglio pacchetti'!$A$1:$I$530, 6, FALSE), "")
)</f>
        <v/>
      </c>
      <c r="AE44"/>
    </row>
    <row r="45" spans="2:31" s="4" customFormat="1" ht="14.85" customHeight="1" x14ac:dyDescent="0.3">
      <c r="B45" s="17"/>
      <c r="C45" s="14"/>
      <c r="D45" s="14" t="str" cm="1">
        <f t="array" ref="D45">IFERROR(
    _xlfn.LET(
        _xlpm.risultato,
        IFERROR(
            _xlfn.XLOOKUP(TRIM(UPPER(G45)),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pacchetti'!$E$1:$E$530))=TRIM(UPPER(G45)),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45" s="14" t="str" cm="1">
        <f t="array" ref="E45">IF(TRIM($B45)="SG-ANAGRAFE", "Bugni Batte",
    IF(TRIM($B45)="DW01A", "Cauda",
        IFERROR(
            VLOOKUP(
                INDEX('[1]Dettaglio pacchetti'!$AB$1:$AB$530,
                    _xlfn.AGGREGATE(15, 6,
                        (ROW($1:$345))/(ISNUMBER(SEARCH('[1]Dettaglio pacchetti'!$AB$1:$AB$530, $C45))),
                        1)
                ) &amp; "*",
                '[1]Dettaglio pacchetti'!$A$1:$I$530,
                3,
                FALSE
            ),
            IFERROR(VLOOKUP($C45, '[1]Dettaglio pacchetti'!$A$1:$I$530, 3, FALSE), "")
        )
    )
)</f>
        <v/>
      </c>
      <c r="F45" s="14" t="str" cm="1">
        <f t="array" ref="F45">IF(TRIM($B45)="DW01A", "ETL - EDW Estrattori",
    IFERROR(
        VLOOKUP(
            INDEX('[1]Dettaglio pacchetti'!$AB$1:$AB$530,
                _xlfn.AGGREGATE(15, 6,
                    (ROW($1:$345))/(ISNUMBER(SEARCH('[1]Dettaglio pacchetti'!$AB$1:$AB$530, $C45))),
                    1)
            ) &amp; "*",
            '[1]Dettaglio pacchetti'!$A$1:$I$530,
            4,
            FALSE
        ),
        IFERROR(VLOOKUP($C45, '[1]Dettaglio pacchetti'!$A$1:$I$530, 4, FALSE), "")
    )
)</f>
        <v/>
      </c>
      <c r="G45" s="14" t="str" cm="1">
        <f t="array" ref="G45">IF(TRIM($B45)="DW01A", "ETL - EDW Estrattori",
    IF(TRIM($B45)="SG-ANAGRAFE", "SIGEA Anagrafe",
        IFERROR(
            VLOOKUP(
                INDEX('[1]Dettaglio pacchetti'!$AB$1:$AB$530,
                    _xlfn.AGGREGATE(15, 6,
                        (ROW($1:$345))/(ISNUMBER(SEARCH('[1]Dettaglio pacchetti'!$AB$1:$AB$530, $C45))),
                        1)
                ) &amp; "*",
                '[1]Dettaglio pacchetti'!$A$1:$I$530,
                5,
                FALSE
            ),
            IFERROR(VLOOKUP($C45, '[1]Dettaglio pacchetti'!$A$1:$I$530, 5, FALSE), "")
        )
    )
)</f>
        <v/>
      </c>
      <c r="H45" s="14"/>
      <c r="I45" s="7"/>
      <c r="J45" t="str">
        <f t="shared" si="1"/>
        <v/>
      </c>
      <c r="K45" t="str">
        <f t="shared" si="2"/>
        <v/>
      </c>
      <c r="L45" s="14" t="str" cm="1">
        <f t="array" ref="L45">IFERROR(
    VLOOKUP(
        INDEX('[1]Dettaglio pacchetti'!$AB$1:$AB$530,
            _xlfn.AGGREGATE(15, 6,
                ROW($1:$345)/(ISNUMBER(SEARCH('[1]Dettaglio pacchetti'!$AB$1:$AB$530, $C45))),
                1)
        ) &amp; "*",
        '[1]Dettaglio pacchetti'!$A$1:$I$530,
        8,
        FALSE
    ),
    IFERROR(VLOOKUP($C45, '[1]Dettaglio pacchetti'!$A$1:$I$530, 8, FALSE), "")
)</f>
        <v/>
      </c>
      <c r="M45" s="14" t="str" cm="1">
        <f t="array" ref="M45">IFERROR(
    VLOOKUP(
        INDEX('[1]Dettaglio pacchetti'!$AB$1:$AB$530,
            _xlfn.AGGREGATE(15, 6,
                ROW($1:$345)/(ISNUMBER(SEARCH('[1]Dettaglio pacchetti'!$AB$1:$AB$530, $C45))),
                1)
        ) &amp; "*",
        '[1]Dettaglio pacchetti'!$A$1:$I$530,
        9,
        FALSE
    ),
    IFERROR(VLOOKUP($C45, '[1]Dettaglio pacchetti'!$A$1:$I$530, 9, FALSE), "")
)</f>
        <v/>
      </c>
      <c r="N45" s="7"/>
      <c r="O45" s="6" t="s">
        <v>15</v>
      </c>
      <c r="P45" s="6" t="s">
        <v>15</v>
      </c>
      <c r="AA45" t="str" cm="1">
        <f t="array" ref="AA45">IFERROR(VLOOKUP(INDEX('[1]Dettaglio pacchetti'!$AB$1:$AB$530, _xlfn.AGGREGATE(15, 6, (ROW($1:$345))/(ISNUMBER(SEARCH('[1]Dettaglio pacchetti'!$AB$1:$AB$530, $C45))), 1)) &amp; "*", '[1]Dettaglio pacchetti'!$A$1:$N$530, 13, FALSE) &amp; "", "")</f>
        <v/>
      </c>
      <c r="AB45" t="str" cm="1">
        <f t="array" ref="AB45">IF(ISNUMBER(SEARCH("dev.azure.com", AA45)), IFERROR(VLOOKUP(INDEX('[1]Dettaglio pacchetti'!$AB$1:$AB$530, _xlfn.AGGREGATE(15, 6, (ROW($1:$345))/(ISNUMBER(SEARCH('[1]Dettaglio pacchetti'!$AB$1:$AB$530, $C45))), 1)) &amp; "*", '[1]Dettaglio pacchetti'!$A$1:$N$530, 1, FALSE) &amp; "", ""), "")</f>
        <v/>
      </c>
      <c r="AC45" t="str" cm="1">
        <f t="array" ref="AC45">IFERROR(
    VLOOKUP(
        INDEX('[1]Dettaglio pacchetti'!$AB$1:$AB$530, _xlfn.AGGREGATE(15,6,ROW($1:$345)/(ISNUMBER(SEARCH('[1]Dettaglio pacchetti'!$AB$1:$AB$530,$C45))),1)) &amp; "*",
        '[1]Dettaglio pacchetti'!$A$1:$I$530,
        7,
        FALSE
    ),
    IFERROR(VLOOKUP($C45, '[1]Dettaglio pacchetti'!$A$1:$I$530, 7, FALSE), "")
)</f>
        <v/>
      </c>
      <c r="AD45" t="str" cm="1">
        <f t="array" ref="AD45">IFERROR(
    VLOOKUP(
        INDEX('[1]Dettaglio pacchetti'!$AB$1:$AB$530, _xlfn.AGGREGATE(15,6,ROW($1:$345)/(ISNUMBER(SEARCH('[1]Dettaglio pacchetti'!$AB$1:$AB$530,$C45))),1)) &amp; "*",
        '[1]Dettaglio pacchetti'!$A$1:$I$530,
        6,
        FALSE
    ),
    IFERROR(VLOOKUP($C45, '[1]Dettaglio pacchetti'!$A$1:$I$530, 6, FALSE), "")
)</f>
        <v/>
      </c>
      <c r="AE45"/>
    </row>
    <row r="46" spans="2:31" s="4" customFormat="1" ht="14.85" customHeight="1" x14ac:dyDescent="0.3">
      <c r="B46" s="17"/>
      <c r="C46" s="14"/>
      <c r="D46" s="14" t="str" cm="1">
        <f t="array" ref="D46">IFERROR(
    _xlfn.LET(
        _xlpm.risultato,
        IFERROR(
            _xlfn.XLOOKUP(TRIM(UPPER(G46)),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pacchetti'!$E$1:$E$530))=TRIM(UPPER(G46)),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46" s="14" t="str" cm="1">
        <f t="array" ref="E46">IF(TRIM($B46)="SG-ANAGRAFE", "Bugni Batte",
    IF(TRIM($B46)="DW01A", "Cauda",
        IFERROR(
            VLOOKUP(
                INDEX('[1]Dettaglio pacchetti'!$AB$1:$AB$530,
                    _xlfn.AGGREGATE(15, 6,
                        (ROW($1:$345))/(ISNUMBER(SEARCH('[1]Dettaglio pacchetti'!$AB$1:$AB$530, $C46))),
                        1)
                ) &amp; "*",
                '[1]Dettaglio pacchetti'!$A$1:$I$530,
                3,
                FALSE
            ),
            IFERROR(VLOOKUP($C46, '[1]Dettaglio pacchetti'!$A$1:$I$530, 3, FALSE), "")
        )
    )
)</f>
        <v/>
      </c>
      <c r="F46" s="14" t="str" cm="1">
        <f t="array" ref="F46">IF(TRIM($B46)="DW01A", "ETL - EDW Estrattori",
    IFERROR(
        VLOOKUP(
            INDEX('[1]Dettaglio pacchetti'!$AB$1:$AB$530,
                _xlfn.AGGREGATE(15, 6,
                    (ROW($1:$345))/(ISNUMBER(SEARCH('[1]Dettaglio pacchetti'!$AB$1:$AB$530, $C46))),
                    1)
            ) &amp; "*",
            '[1]Dettaglio pacchetti'!$A$1:$I$530,
            4,
            FALSE
        ),
        IFERROR(VLOOKUP($C46, '[1]Dettaglio pacchetti'!$A$1:$I$530, 4, FALSE), "")
    )
)</f>
        <v/>
      </c>
      <c r="G46" s="14" t="str" cm="1">
        <f t="array" ref="G46">IF(TRIM($B46)="DW01A", "ETL - EDW Estrattori",
    IF(TRIM($B46)="SG-ANAGRAFE", "SIGEA Anagrafe",
        IFERROR(
            VLOOKUP(
                INDEX('[1]Dettaglio pacchetti'!$AB$1:$AB$530,
                    _xlfn.AGGREGATE(15, 6,
                        (ROW($1:$345))/(ISNUMBER(SEARCH('[1]Dettaglio pacchetti'!$AB$1:$AB$530, $C46))),
                        1)
                ) &amp; "*",
                '[1]Dettaglio pacchetti'!$A$1:$I$530,
                5,
                FALSE
            ),
            IFERROR(VLOOKUP($C46, '[1]Dettaglio pacchetti'!$A$1:$I$530, 5, FALSE), "")
        )
    )
)</f>
        <v/>
      </c>
      <c r="H46" s="14"/>
      <c r="I46" s="7"/>
      <c r="J46" t="str">
        <f t="shared" ref="J46:J106" si="4">IF($AC46="", "",
    IF(ISNUMBER(SEARCH("Ikan", $AD46)),
        "",
        HYPERLINK("https://dev.azure.com/realeitesorg/" &amp; $AC46, $AC46)
    )
)</f>
        <v/>
      </c>
      <c r="K46" t="str">
        <f t="shared" ref="K46:K106" si="5">IF($AC46="", "", IF(ISNUMBER(SEARCH("Ikan", $AD46)), $AC46, "" ) )</f>
        <v/>
      </c>
      <c r="L46" s="14" t="str" cm="1">
        <f t="array" ref="L46">IFERROR(
    VLOOKUP(
        INDEX('[1]Dettaglio pacchetti'!$AB$1:$AB$530,
            _xlfn.AGGREGATE(15, 6,
                ROW($1:$345)/(ISNUMBER(SEARCH('[1]Dettaglio pacchetti'!$AB$1:$AB$530, $C46))),
                1)
        ) &amp; "*",
        '[1]Dettaglio pacchetti'!$A$1:$I$530,
        8,
        FALSE
    ),
    IFERROR(VLOOKUP($C46, '[1]Dettaglio pacchetti'!$A$1:$I$530, 8, FALSE), "")
)</f>
        <v/>
      </c>
      <c r="M46" s="14" t="str" cm="1">
        <f t="array" ref="M46">IFERROR(
    VLOOKUP(
        INDEX('[1]Dettaglio pacchetti'!$AB$1:$AB$530,
            _xlfn.AGGREGATE(15, 6,
                ROW($1:$345)/(ISNUMBER(SEARCH('[1]Dettaglio pacchetti'!$AB$1:$AB$530, $C46))),
                1)
        ) &amp; "*",
        '[1]Dettaglio pacchetti'!$A$1:$I$530,
        9,
        FALSE
    ),
    IFERROR(VLOOKUP($C46, '[1]Dettaglio pacchetti'!$A$1:$I$530, 9, FALSE), "")
)</f>
        <v/>
      </c>
      <c r="N46" s="7"/>
      <c r="O46" s="6" t="s">
        <v>15</v>
      </c>
      <c r="P46" s="6" t="s">
        <v>15</v>
      </c>
      <c r="AA46" t="str" cm="1">
        <f t="array" ref="AA46">IFERROR(VLOOKUP(INDEX('[1]Dettaglio pacchetti'!$AB$1:$AB$530, _xlfn.AGGREGATE(15, 6, (ROW($1:$345))/(ISNUMBER(SEARCH('[1]Dettaglio pacchetti'!$AB$1:$AB$530, $C46))), 1)) &amp; "*", '[1]Dettaglio pacchetti'!$A$1:$N$530, 13, FALSE) &amp; "", "")</f>
        <v/>
      </c>
      <c r="AB46" t="str" cm="1">
        <f t="array" ref="AB46">IF(ISNUMBER(SEARCH("dev.azure.com", AA46)), IFERROR(VLOOKUP(INDEX('[1]Dettaglio pacchetti'!$AB$1:$AB$530, _xlfn.AGGREGATE(15, 6, (ROW($1:$345))/(ISNUMBER(SEARCH('[1]Dettaglio pacchetti'!$AB$1:$AB$530, $C46))), 1)) &amp; "*", '[1]Dettaglio pacchetti'!$A$1:$N$530, 1, FALSE) &amp; "", ""), "")</f>
        <v/>
      </c>
      <c r="AC46" t="str" cm="1">
        <f t="array" ref="AC46">IFERROR(
    VLOOKUP(
        INDEX('[1]Dettaglio pacchetti'!$AB$1:$AB$530, _xlfn.AGGREGATE(15,6,ROW($1:$345)/(ISNUMBER(SEARCH('[1]Dettaglio pacchetti'!$AB$1:$AB$530,$C46))),1)) &amp; "*",
        '[1]Dettaglio pacchetti'!$A$1:$I$530,
        7,
        FALSE
    ),
    IFERROR(VLOOKUP($C46, '[1]Dettaglio pacchetti'!$A$1:$I$530, 7, FALSE), "")
)</f>
        <v/>
      </c>
      <c r="AD46" t="str" cm="1">
        <f t="array" ref="AD46">IFERROR(
    VLOOKUP(
        INDEX('[1]Dettaglio pacchetti'!$AB$1:$AB$530, _xlfn.AGGREGATE(15,6,ROW($1:$345)/(ISNUMBER(SEARCH('[1]Dettaglio pacchetti'!$AB$1:$AB$530,$C46))),1)) &amp; "*",
        '[1]Dettaglio pacchetti'!$A$1:$I$530,
        6,
        FALSE
    ),
    IFERROR(VLOOKUP($C46, '[1]Dettaglio pacchetti'!$A$1:$I$530, 6, FALSE), "")
)</f>
        <v/>
      </c>
      <c r="AE46"/>
    </row>
    <row r="47" spans="2:31" s="4" customFormat="1" ht="14.85" customHeight="1" x14ac:dyDescent="0.3">
      <c r="B47" s="17"/>
      <c r="C47" s="14"/>
      <c r="D47" s="14" t="str" cm="1">
        <f t="array" ref="D47">IFERROR(
    _xlfn.LET(
        _xlpm.risultato,
        IFERROR(
            _xlfn.XLOOKUP(TRIM(UPPER(G47)),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pacchetti'!$E$1:$E$530))=TRIM(UPPER(G47)),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47" s="14" t="str" cm="1">
        <f t="array" ref="E47">IF(TRIM($B47)="SG-ANAGRAFE", "Bugni Batte",
    IF(TRIM($B47)="DW01A", "Cauda",
        IFERROR(
            VLOOKUP(
                INDEX('[1]Dettaglio pacchetti'!$AB$1:$AB$530,
                    _xlfn.AGGREGATE(15, 6,
                        (ROW($1:$345))/(ISNUMBER(SEARCH('[1]Dettaglio pacchetti'!$AB$1:$AB$530, $C47))),
                        1)
                ) &amp; "*",
                '[1]Dettaglio pacchetti'!$A$1:$I$530,
                3,
                FALSE
            ),
            IFERROR(VLOOKUP($C47, '[1]Dettaglio pacchetti'!$A$1:$I$530, 3, FALSE), "")
        )
    )
)</f>
        <v/>
      </c>
      <c r="F47" s="14" t="str" cm="1">
        <f t="array" ref="F47">IF(TRIM($B47)="DW01A", "ETL - EDW Estrattori",
    IFERROR(
        VLOOKUP(
            INDEX('[1]Dettaglio pacchetti'!$AB$1:$AB$530,
                _xlfn.AGGREGATE(15, 6,
                    (ROW($1:$345))/(ISNUMBER(SEARCH('[1]Dettaglio pacchetti'!$AB$1:$AB$530, $C47))),
                    1)
            ) &amp; "*",
            '[1]Dettaglio pacchetti'!$A$1:$I$530,
            4,
            FALSE
        ),
        IFERROR(VLOOKUP($C47, '[1]Dettaglio pacchetti'!$A$1:$I$530, 4, FALSE), "")
    )
)</f>
        <v/>
      </c>
      <c r="G47" s="14" t="str" cm="1">
        <f t="array" ref="G47">IF(TRIM($B47)="DW01A", "ETL - EDW Estrattori",
    IF(TRIM($B47)="SG-ANAGRAFE", "SIGEA Anagrafe",
        IFERROR(
            VLOOKUP(
                INDEX('[1]Dettaglio pacchetti'!$AB$1:$AB$530,
                    _xlfn.AGGREGATE(15, 6,
                        (ROW($1:$345))/(ISNUMBER(SEARCH('[1]Dettaglio pacchetti'!$AB$1:$AB$530, $C47))),
                        1)
                ) &amp; "*",
                '[1]Dettaglio pacchetti'!$A$1:$I$530,
                5,
                FALSE
            ),
            IFERROR(VLOOKUP($C47, '[1]Dettaglio pacchetti'!$A$1:$I$530, 5, FALSE), "")
        )
    )
)</f>
        <v/>
      </c>
      <c r="H47" s="14"/>
      <c r="I47" s="7"/>
      <c r="J47" t="str">
        <f t="shared" si="4"/>
        <v/>
      </c>
      <c r="K47" t="str">
        <f t="shared" si="5"/>
        <v/>
      </c>
      <c r="L47" s="14" t="str" cm="1">
        <f t="array" ref="L47">IFERROR(
    VLOOKUP(
        INDEX('[1]Dettaglio pacchetti'!$AB$1:$AB$530,
            _xlfn.AGGREGATE(15, 6,
                ROW($1:$345)/(ISNUMBER(SEARCH('[1]Dettaglio pacchetti'!$AB$1:$AB$530, $C47))),
                1)
        ) &amp; "*",
        '[1]Dettaglio pacchetti'!$A$1:$I$530,
        8,
        FALSE
    ),
    IFERROR(VLOOKUP($C47, '[1]Dettaglio pacchetti'!$A$1:$I$530, 8, FALSE), "")
)</f>
        <v/>
      </c>
      <c r="M47" s="14" t="str" cm="1">
        <f t="array" ref="M47">IFERROR(
    VLOOKUP(
        INDEX('[1]Dettaglio pacchetti'!$AB$1:$AB$530,
            _xlfn.AGGREGATE(15, 6,
                ROW($1:$345)/(ISNUMBER(SEARCH('[1]Dettaglio pacchetti'!$AB$1:$AB$530, $C47))),
                1)
        ) &amp; "*",
        '[1]Dettaglio pacchetti'!$A$1:$I$530,
        9,
        FALSE
    ),
    IFERROR(VLOOKUP($C47, '[1]Dettaglio pacchetti'!$A$1:$I$530, 9, FALSE), "")
)</f>
        <v/>
      </c>
      <c r="N47" s="7"/>
      <c r="O47" s="6" t="s">
        <v>15</v>
      </c>
      <c r="P47" s="6" t="s">
        <v>15</v>
      </c>
      <c r="V47" s="5" t="s">
        <v>16</v>
      </c>
      <c r="AA47" t="str" cm="1">
        <f t="array" ref="AA47">IFERROR(VLOOKUP(INDEX('[1]Dettaglio pacchetti'!$AB$1:$AB$530, _xlfn.AGGREGATE(15, 6, (ROW($1:$345))/(ISNUMBER(SEARCH('[1]Dettaglio pacchetti'!$AB$1:$AB$530, $C47))), 1)) &amp; "*", '[1]Dettaglio pacchetti'!$A$1:$N$530, 13, FALSE) &amp; "", "")</f>
        <v/>
      </c>
      <c r="AB47" t="str" cm="1">
        <f t="array" ref="AB47">IF(ISNUMBER(SEARCH("dev.azure.com", AA47)), IFERROR(VLOOKUP(INDEX('[1]Dettaglio pacchetti'!$AB$1:$AB$530, _xlfn.AGGREGATE(15, 6, (ROW($1:$345))/(ISNUMBER(SEARCH('[1]Dettaglio pacchetti'!$AB$1:$AB$530, $C47))), 1)) &amp; "*", '[1]Dettaglio pacchetti'!$A$1:$N$530, 1, FALSE) &amp; "", ""), "")</f>
        <v/>
      </c>
      <c r="AC47" t="str" cm="1">
        <f t="array" ref="AC47">IFERROR(
    VLOOKUP(
        INDEX('[1]Dettaglio pacchetti'!$AB$1:$AB$530, _xlfn.AGGREGATE(15,6,ROW($1:$345)/(ISNUMBER(SEARCH('[1]Dettaglio pacchetti'!$AB$1:$AB$530,$C47))),1)) &amp; "*",
        '[1]Dettaglio pacchetti'!$A$1:$I$530,
        7,
        FALSE
    ),
    IFERROR(VLOOKUP($C47, '[1]Dettaglio pacchetti'!$A$1:$I$530, 7, FALSE), "")
)</f>
        <v/>
      </c>
      <c r="AD47" t="str" cm="1">
        <f t="array" ref="AD47">IFERROR(
    VLOOKUP(
        INDEX('[1]Dettaglio pacchetti'!$AB$1:$AB$530, _xlfn.AGGREGATE(15,6,ROW($1:$345)/(ISNUMBER(SEARCH('[1]Dettaglio pacchetti'!$AB$1:$AB$530,$C47))),1)) &amp; "*",
        '[1]Dettaglio pacchetti'!$A$1:$I$530,
        6,
        FALSE
    ),
    IFERROR(VLOOKUP($C47, '[1]Dettaglio pacchetti'!$A$1:$I$530, 6, FALSE), "")
)</f>
        <v/>
      </c>
      <c r="AE47"/>
    </row>
    <row r="48" spans="2:31" s="4" customFormat="1" ht="14.85" customHeight="1" x14ac:dyDescent="0.3">
      <c r="B48" s="17"/>
      <c r="C48" s="14"/>
      <c r="D48" s="14" t="str" cm="1">
        <f t="array" ref="D48">IFERROR(
    _xlfn.LET(
        _xlpm.risultato,
        IFERROR(
            _xlfn.XLOOKUP(TRIM(UPPER(G48)),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pacchetti'!$E$1:$E$530))=TRIM(UPPER(G48)),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48" s="14" t="str" cm="1">
        <f t="array" ref="E48">IF(TRIM($B48)="SG-ANAGRAFE", "Bugni Batte",
    IF(TRIM($B48)="DW01A", "Cauda",
        IFERROR(
            VLOOKUP(
                INDEX('[1]Dettaglio pacchetti'!$AB$1:$AB$530,
                    _xlfn.AGGREGATE(15, 6,
                        (ROW($1:$345))/(ISNUMBER(SEARCH('[1]Dettaglio pacchetti'!$AB$1:$AB$530, $C48))),
                        1)
                ) &amp; "*",
                '[1]Dettaglio pacchetti'!$A$1:$I$530,
                3,
                FALSE
            ),
            IFERROR(VLOOKUP($C48, '[1]Dettaglio pacchetti'!$A$1:$I$530, 3, FALSE), "")
        )
    )
)</f>
        <v/>
      </c>
      <c r="F48" s="14" t="str" cm="1">
        <f t="array" ref="F48">IF(TRIM($B48)="DW01A", "ETL - EDW Estrattori",
    IFERROR(
        VLOOKUP(
            INDEX('[1]Dettaglio pacchetti'!$AB$1:$AB$530,
                _xlfn.AGGREGATE(15, 6,
                    (ROW($1:$345))/(ISNUMBER(SEARCH('[1]Dettaglio pacchetti'!$AB$1:$AB$530, $C48))),
                    1)
            ) &amp; "*",
            '[1]Dettaglio pacchetti'!$A$1:$I$530,
            4,
            FALSE
        ),
        IFERROR(VLOOKUP($C48, '[1]Dettaglio pacchetti'!$A$1:$I$530, 4, FALSE), "")
    )
)</f>
        <v/>
      </c>
      <c r="G48" s="14" t="str" cm="1">
        <f t="array" ref="G48">IF(TRIM($B48)="DW01A", "ETL - EDW Estrattori",
    IF(TRIM($B48)="SG-ANAGRAFE", "SIGEA Anagrafe",
        IFERROR(
            VLOOKUP(
                INDEX('[1]Dettaglio pacchetti'!$AB$1:$AB$530,
                    _xlfn.AGGREGATE(15, 6,
                        (ROW($1:$345))/(ISNUMBER(SEARCH('[1]Dettaglio pacchetti'!$AB$1:$AB$530, $C48))),
                        1)
                ) &amp; "*",
                '[1]Dettaglio pacchetti'!$A$1:$I$530,
                5,
                FALSE
            ),
            IFERROR(VLOOKUP($C48, '[1]Dettaglio pacchetti'!$A$1:$I$530, 5, FALSE), "")
        )
    )
)</f>
        <v/>
      </c>
      <c r="H48" s="14"/>
      <c r="I48" s="7"/>
      <c r="J48" t="str">
        <f t="shared" si="4"/>
        <v/>
      </c>
      <c r="K48" t="str">
        <f t="shared" si="5"/>
        <v/>
      </c>
      <c r="L48" s="14" t="str" cm="1">
        <f t="array" ref="L48">IFERROR(
    VLOOKUP(
        INDEX('[1]Dettaglio pacchetti'!$AB$1:$AB$530,
            _xlfn.AGGREGATE(15, 6,
                ROW($1:$345)/(ISNUMBER(SEARCH('[1]Dettaglio pacchetti'!$AB$1:$AB$530, $C48))),
                1)
        ) &amp; "*",
        '[1]Dettaglio pacchetti'!$A$1:$I$530,
        8,
        FALSE
    ),
    IFERROR(VLOOKUP($C48, '[1]Dettaglio pacchetti'!$A$1:$I$530, 8, FALSE), "")
)</f>
        <v/>
      </c>
      <c r="M48" s="14" t="str" cm="1">
        <f t="array" ref="M48">IFERROR(
    VLOOKUP(
        INDEX('[1]Dettaglio pacchetti'!$AB$1:$AB$530,
            _xlfn.AGGREGATE(15, 6,
                ROW($1:$345)/(ISNUMBER(SEARCH('[1]Dettaglio pacchetti'!$AB$1:$AB$530, $C48))),
                1)
        ) &amp; "*",
        '[1]Dettaglio pacchetti'!$A$1:$I$530,
        9,
        FALSE
    ),
    IFERROR(VLOOKUP($C48, '[1]Dettaglio pacchetti'!$A$1:$I$530, 9, FALSE), "")
)</f>
        <v/>
      </c>
      <c r="N48" s="7"/>
      <c r="O48" s="6" t="s">
        <v>15</v>
      </c>
      <c r="P48" s="6" t="s">
        <v>15</v>
      </c>
      <c r="AA48" t="str" cm="1">
        <f t="array" ref="AA48">IFERROR(VLOOKUP(INDEX('[1]Dettaglio pacchetti'!$AB$1:$AB$530, _xlfn.AGGREGATE(15, 6, (ROW($1:$345))/(ISNUMBER(SEARCH('[1]Dettaglio pacchetti'!$AB$1:$AB$530, $C48))), 1)) &amp; "*", '[1]Dettaglio pacchetti'!$A$1:$N$530, 13, FALSE) &amp; "", "")</f>
        <v/>
      </c>
      <c r="AB48" t="str" cm="1">
        <f t="array" ref="AB48">IF(ISNUMBER(SEARCH("dev.azure.com", AA48)), IFERROR(VLOOKUP(INDEX('[1]Dettaglio pacchetti'!$AB$1:$AB$530, _xlfn.AGGREGATE(15, 6, (ROW($1:$345))/(ISNUMBER(SEARCH('[1]Dettaglio pacchetti'!$AB$1:$AB$530, $C48))), 1)) &amp; "*", '[1]Dettaglio pacchetti'!$A$1:$N$530, 1, FALSE) &amp; "", ""), "")</f>
        <v/>
      </c>
      <c r="AC48" t="str" cm="1">
        <f t="array" ref="AC48">IFERROR(
    VLOOKUP(
        INDEX('[1]Dettaglio pacchetti'!$AB$1:$AB$530, _xlfn.AGGREGATE(15,6,ROW($1:$345)/(ISNUMBER(SEARCH('[1]Dettaglio pacchetti'!$AB$1:$AB$530,$C48))),1)) &amp; "*",
        '[1]Dettaglio pacchetti'!$A$1:$I$530,
        7,
        FALSE
    ),
    IFERROR(VLOOKUP($C48, '[1]Dettaglio pacchetti'!$A$1:$I$530, 7, FALSE), "")
)</f>
        <v/>
      </c>
      <c r="AD48" t="str" cm="1">
        <f t="array" ref="AD48">IFERROR(
    VLOOKUP(
        INDEX('[1]Dettaglio pacchetti'!$AB$1:$AB$530, _xlfn.AGGREGATE(15,6,ROW($1:$345)/(ISNUMBER(SEARCH('[1]Dettaglio pacchetti'!$AB$1:$AB$530,$C48))),1)) &amp; "*",
        '[1]Dettaglio pacchetti'!$A$1:$I$530,
        6,
        FALSE
    ),
    IFERROR(VLOOKUP($C48, '[1]Dettaglio pacchetti'!$A$1:$I$530, 6, FALSE), "")
)</f>
        <v/>
      </c>
      <c r="AE48"/>
    </row>
    <row r="49" spans="2:31" s="4" customFormat="1" ht="14.85" customHeight="1" x14ac:dyDescent="0.3">
      <c r="B49" s="17"/>
      <c r="C49" s="14"/>
      <c r="D49" s="14" t="str" cm="1">
        <f t="array" ref="D49">IFERROR(
    _xlfn.LET(
        _xlpm.risultato,
        IFERROR(
            _xlfn.XLOOKUP(TRIM(UPPER(G49)),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pacchetti'!$E$1:$E$530))=TRIM(UPPER(G49)),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49" s="14" t="str" cm="1">
        <f t="array" ref="E49">IF(TRIM($B49)="SG-ANAGRAFE", "Bugni Batte",
    IF(TRIM($B49)="DW01A", "Cauda",
        IFERROR(
            VLOOKUP(
                INDEX('[1]Dettaglio pacchetti'!$AB$1:$AB$530,
                    _xlfn.AGGREGATE(15, 6,
                        (ROW($1:$345))/(ISNUMBER(SEARCH('[1]Dettaglio pacchetti'!$AB$1:$AB$530, $C49))),
                        1)
                ) &amp; "*",
                '[1]Dettaglio pacchetti'!$A$1:$I$530,
                3,
                FALSE
            ),
            IFERROR(VLOOKUP($C49, '[1]Dettaglio pacchetti'!$A$1:$I$530, 3, FALSE), "")
        )
    )
)</f>
        <v/>
      </c>
      <c r="F49" s="14" t="str" cm="1">
        <f t="array" ref="F49">IF(TRIM($B49)="DW01A", "ETL - EDW Estrattori",
    IFERROR(
        VLOOKUP(
            INDEX('[1]Dettaglio pacchetti'!$AB$1:$AB$530,
                _xlfn.AGGREGATE(15, 6,
                    (ROW($1:$345))/(ISNUMBER(SEARCH('[1]Dettaglio pacchetti'!$AB$1:$AB$530, $C49))),
                    1)
            ) &amp; "*",
            '[1]Dettaglio pacchetti'!$A$1:$I$530,
            4,
            FALSE
        ),
        IFERROR(VLOOKUP($C49, '[1]Dettaglio pacchetti'!$A$1:$I$530, 4, FALSE), "")
    )
)</f>
        <v/>
      </c>
      <c r="G49" s="14" t="str" cm="1">
        <f t="array" ref="G49">IF(TRIM($B49)="DW01A", "ETL - EDW Estrattori",
    IF(TRIM($B49)="SG-ANAGRAFE", "SIGEA Anagrafe",
        IFERROR(
            VLOOKUP(
                INDEX('[1]Dettaglio pacchetti'!$AB$1:$AB$530,
                    _xlfn.AGGREGATE(15, 6,
                        (ROW($1:$345))/(ISNUMBER(SEARCH('[1]Dettaglio pacchetti'!$AB$1:$AB$530, $C49))),
                        1)
                ) &amp; "*",
                '[1]Dettaglio pacchetti'!$A$1:$I$530,
                5,
                FALSE
            ),
            IFERROR(VLOOKUP($C49, '[1]Dettaglio pacchetti'!$A$1:$I$530, 5, FALSE), "")
        )
    )
)</f>
        <v/>
      </c>
      <c r="H49" s="14"/>
      <c r="I49" s="7"/>
      <c r="J49" t="str">
        <f t="shared" si="4"/>
        <v/>
      </c>
      <c r="K49" t="str">
        <f t="shared" si="5"/>
        <v/>
      </c>
      <c r="L49" s="14" t="str" cm="1">
        <f t="array" ref="L49">IFERROR(
    VLOOKUP(
        INDEX('[1]Dettaglio pacchetti'!$AB$1:$AB$530,
            _xlfn.AGGREGATE(15, 6,
                ROW($1:$345)/(ISNUMBER(SEARCH('[1]Dettaglio pacchetti'!$AB$1:$AB$530, $C49))),
                1)
        ) &amp; "*",
        '[1]Dettaglio pacchetti'!$A$1:$I$530,
        8,
        FALSE
    ),
    IFERROR(VLOOKUP($C49, '[1]Dettaglio pacchetti'!$A$1:$I$530, 8, FALSE), "")
)</f>
        <v/>
      </c>
      <c r="M49" s="14" t="str" cm="1">
        <f t="array" ref="M49">IFERROR(
    VLOOKUP(
        INDEX('[1]Dettaglio pacchetti'!$AB$1:$AB$530,
            _xlfn.AGGREGATE(15, 6,
                ROW($1:$345)/(ISNUMBER(SEARCH('[1]Dettaglio pacchetti'!$AB$1:$AB$530, $C49))),
                1)
        ) &amp; "*",
        '[1]Dettaglio pacchetti'!$A$1:$I$530,
        9,
        FALSE
    ),
    IFERROR(VLOOKUP($C49, '[1]Dettaglio pacchetti'!$A$1:$I$530, 9, FALSE), "")
)</f>
        <v/>
      </c>
      <c r="N49" s="7"/>
      <c r="O49" s="6" t="s">
        <v>15</v>
      </c>
      <c r="P49" s="6" t="s">
        <v>15</v>
      </c>
      <c r="AA49" t="str" cm="1">
        <f t="array" ref="AA49">IFERROR(VLOOKUP(INDEX('[1]Dettaglio pacchetti'!$AB$1:$AB$530, _xlfn.AGGREGATE(15, 6, (ROW($1:$345))/(ISNUMBER(SEARCH('[1]Dettaglio pacchetti'!$AB$1:$AB$530, $C49))), 1)) &amp; "*", '[1]Dettaglio pacchetti'!$A$1:$N$530, 13, FALSE) &amp; "", "")</f>
        <v/>
      </c>
      <c r="AB49" t="str" cm="1">
        <f t="array" ref="AB49">IF(ISNUMBER(SEARCH("dev.azure.com", AA49)), IFERROR(VLOOKUP(INDEX('[1]Dettaglio pacchetti'!$AB$1:$AB$530, _xlfn.AGGREGATE(15, 6, (ROW($1:$345))/(ISNUMBER(SEARCH('[1]Dettaglio pacchetti'!$AB$1:$AB$530, $C49))), 1)) &amp; "*", '[1]Dettaglio pacchetti'!$A$1:$N$530, 1, FALSE) &amp; "", ""), "")</f>
        <v/>
      </c>
      <c r="AC49" t="str" cm="1">
        <f t="array" ref="AC49">IFERROR(
    VLOOKUP(
        INDEX('[1]Dettaglio pacchetti'!$AB$1:$AB$530, _xlfn.AGGREGATE(15,6,ROW($1:$345)/(ISNUMBER(SEARCH('[1]Dettaglio pacchetti'!$AB$1:$AB$530,$C49))),1)) &amp; "*",
        '[1]Dettaglio pacchetti'!$A$1:$I$530,
        7,
        FALSE
    ),
    IFERROR(VLOOKUP($C49, '[1]Dettaglio pacchetti'!$A$1:$I$530, 7, FALSE), "")
)</f>
        <v/>
      </c>
      <c r="AD49" t="str" cm="1">
        <f t="array" ref="AD49">IFERROR(
    VLOOKUP(
        INDEX('[1]Dettaglio pacchetti'!$AB$1:$AB$530, _xlfn.AGGREGATE(15,6,ROW($1:$345)/(ISNUMBER(SEARCH('[1]Dettaglio pacchetti'!$AB$1:$AB$530,$C49))),1)) &amp; "*",
        '[1]Dettaglio pacchetti'!$A$1:$I$530,
        6,
        FALSE
    ),
    IFERROR(VLOOKUP($C49, '[1]Dettaglio pacchetti'!$A$1:$I$530, 6, FALSE), "")
)</f>
        <v/>
      </c>
      <c r="AE49"/>
    </row>
    <row r="50" spans="2:31" s="4" customFormat="1" ht="14.85" hidden="1" customHeight="1" x14ac:dyDescent="0.3">
      <c r="B50" s="17"/>
      <c r="C50" s="57" t="s">
        <v>210</v>
      </c>
      <c r="D50" s="20" t="str" cm="1">
        <f t="array" ref="D50">IFERROR(
    _xlfn.LET(
        _xlpm.risultato,
        IFERROR(
            _xlfn.XLOOKUP(TRIM(UPPER(G50)),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pacchetti'!$E$1:$E$530))=TRIM(UPPER(G50)),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>C20260821_0050</v>
      </c>
      <c r="E50" s="14" t="str" cm="1">
        <f t="array" ref="E50">IF(TRIM($B50)="SG-ANAGRAFE", "Bugni Batte",
    IF(TRIM($B50)="DW01A", "Cauda",
        IFERROR(
            VLOOKUP(
                INDEX('[1]Dettaglio pacchetti'!$AB$1:$AB$530,
                    _xlfn.AGGREGATE(15, 6,
                        (ROW($1:$345))/(ISNUMBER(SEARCH('[1]Dettaglio pacchetti'!$AB$1:$AB$530, $C50))),
                        1)
                ) &amp; "*",
                '[1]Dettaglio pacchetti'!$A$1:$I$530,
                3,
                FALSE
            ),
            IFERROR(VLOOKUP($C50, '[1]Dettaglio pacchetti'!$A$1:$I$530, 3, FALSE), "")
        )
    )
)</f>
        <v>Rocca</v>
      </c>
      <c r="F50" s="14" t="str" cm="1">
        <f t="array" ref="F50">IF(TRIM($B50)="DW01A", "ETL - EDW Estrattori",
    IFERROR(
        VLOOKUP(
            INDEX('[1]Dettaglio pacchetti'!$AB$1:$AB$530,
                _xlfn.AGGREGATE(15, 6,
                    (ROW($1:$345))/(ISNUMBER(SEARCH('[1]Dettaglio pacchetti'!$AB$1:$AB$530, $C50))),
                    1)
            ) &amp; "*",
            '[1]Dettaglio pacchetti'!$A$1:$I$530,
            4,
            FALSE
        ),
        IFERROR(VLOOKUP($C50, '[1]Dettaglio pacchetti'!$A$1:$I$530, 4, FALSE), "")
    )
)</f>
        <v>Rilascio Portale Documentale Portafoglio RIBALTADOC</v>
      </c>
      <c r="G50" s="14" t="str" cm="1">
        <f t="array" ref="G50">IF(TRIM($B50)="DW01A", "ETL - EDW Estrattori",
    IF(TRIM($B50)="SG-ANAGRAFE", "SIGEA Anagrafe",
        IFERROR(
            VLOOKUP(
                INDEX('[1]Dettaglio pacchetti'!$AB$1:$AB$530,
                    _xlfn.AGGREGATE(15, 6,
                        (ROW($1:$345))/(ISNUMBER(SEARCH('[1]Dettaglio pacchetti'!$AB$1:$AB$530, $C50))),
                        1)
                ) &amp; "*",
                '[1]Dettaglio pacchetti'!$A$1:$I$530,
                5,
                FALSE
            ),
            IFERROR(VLOOKUP($C50, '[1]Dettaglio pacchetti'!$A$1:$I$530, 5, FALSE), "")
        )
    )
)</f>
        <v>Portale Documentale Portafoglio</v>
      </c>
      <c r="H50" s="14" t="str" cm="1">
        <f t="array" ref="H50">IFERROR(
    VLOOKUP(
        INDEX('[1]Dettaglio pacchetti'!$AB$1:$AB$530,
            _xlfn.AGGREGATE(15, 6,
                (ROW($1:$345))/(ISNUMBER(SEARCH('[1]Dettaglio pacchetti'!$AB$1:$AB$530, $C50))),
                1)
        ) &amp; "*",
        '[1]Dettaglio pacchetti'!$A$1:$I$530,
        6,
        FALSE
    ),
    IFERROR(VLOOKUP($C50, '[1]Dettaglio pacchetti'!$A$1:$I$530, 6, FALSE), "")
)</f>
        <v>Ikan Alm</v>
      </c>
      <c r="I50" s="7" t="str">
        <f t="shared" si="3"/>
        <v/>
      </c>
      <c r="J50" t="str">
        <f t="shared" si="4"/>
        <v/>
      </c>
      <c r="K50" t="str">
        <f t="shared" si="5"/>
        <v>RIBALTADOC</v>
      </c>
      <c r="L50" s="14" t="str" cm="1">
        <f t="array" ref="L50">IFERROR(
    VLOOKUP(
        INDEX('[1]Dettaglio pacchetti'!$AB$1:$AB$530,
            _xlfn.AGGREGATE(15, 6,
                ROW($1:$345)/(ISNUMBER(SEARCH('[1]Dettaglio pacchetti'!$AB$1:$AB$530, $C50))),
                1)
        ) &amp; "*",
        '[1]Dettaglio pacchetti'!$A$1:$I$530,
        8,
        FALSE
    ),
    IFERROR(VLOOKUP($C50, '[1]Dettaglio pacchetti'!$A$1:$I$530, 8, FALSE), "")
)</f>
        <v>6.00</v>
      </c>
      <c r="M50" s="14" t="str" cm="1">
        <f t="array" ref="M50">IFERROR(
    VLOOKUP(
        INDEX('[1]Dettaglio pacchetti'!$AB$1:$AB$530,
            _xlfn.AGGREGATE(15, 6,
                ROW($1:$345)/(ISNUMBER(SEARCH('[1]Dettaglio pacchetti'!$AB$1:$AB$530, $C50))),
                1)
        ) &amp; "*",
        '[1]Dettaglio pacchetti'!$A$1:$I$530,
        9,
        FALSE
    ),
    IFERROR(VLOOKUP($C50, '[1]Dettaglio pacchetti'!$A$1:$I$530, 9, FALSE), "")
)</f>
        <v>copia_file</v>
      </c>
      <c r="N50" s="7"/>
      <c r="O50" s="6" t="s">
        <v>15</v>
      </c>
      <c r="P50" s="6" t="s">
        <v>15</v>
      </c>
      <c r="AA50" t="str" cm="1">
        <f t="array" ref="AA50">IFERROR(VLOOKUP(INDEX('[1]Dettaglio pacchetti'!$AB$1:$AB$530, _xlfn.AGGREGATE(15, 6, (ROW($1:$345))/(ISNUMBER(SEARCH('[1]Dettaglio pacchetti'!$AB$1:$AB$530, $C50))), 1)) &amp; "*", '[1]Dettaglio pacchetti'!$A$1:$N$530, 13, FALSE) &amp; "", "")</f>
        <v/>
      </c>
      <c r="AB50" t="str" cm="1">
        <f t="array" ref="AB50">IF(ISNUMBER(SEARCH("dev.azure.com", AA50)), IFERROR(VLOOKUP(INDEX('[1]Dettaglio pacchetti'!$AB$1:$AB$530, _xlfn.AGGREGATE(15, 6, (ROW($1:$345))/(ISNUMBER(SEARCH('[1]Dettaglio pacchetti'!$AB$1:$AB$530, $C50))), 1)) &amp; "*", '[1]Dettaglio pacchetti'!$A$1:$N$530, 1, FALSE) &amp; "", ""), "")</f>
        <v/>
      </c>
      <c r="AC50" t="str" cm="1">
        <f t="array" ref="AC50">IFERROR(
    VLOOKUP(
        INDEX('[1]Dettaglio pacchetti'!$AB$1:$AB$530, _xlfn.AGGREGATE(15,6,ROW($1:$345)/(ISNUMBER(SEARCH('[1]Dettaglio pacchetti'!$AB$1:$AB$530,$C50))),1)) &amp; "*",
        '[1]Dettaglio pacchetti'!$A$1:$I$530,
        7,
        FALSE
    ),
    IFERROR(VLOOKUP($C50, '[1]Dettaglio pacchetti'!$A$1:$I$530, 7, FALSE), "")
)</f>
        <v>RIBALTADOC</v>
      </c>
      <c r="AD50" t="str" cm="1">
        <f t="array" ref="AD50">IFERROR(
    VLOOKUP(
        INDEX('[1]Dettaglio pacchetti'!$AB$1:$AB$530, _xlfn.AGGREGATE(15,6,ROW($1:$345)/(ISNUMBER(SEARCH('[1]Dettaglio pacchetti'!$AB$1:$AB$530,$C50))),1)) &amp; "*",
        '[1]Dettaglio pacchetti'!$A$1:$I$530,
        6,
        FALSE
    ),
    IFERROR(VLOOKUP($C50, '[1]Dettaglio pacchetti'!$A$1:$I$530, 6, FALSE), "")
)</f>
        <v>Ikan Alm</v>
      </c>
      <c r="AE50"/>
    </row>
    <row r="51" spans="2:31" s="4" customFormat="1" ht="14.85" customHeight="1" x14ac:dyDescent="0.3">
      <c r="B51" s="17"/>
      <c r="C51" s="14"/>
      <c r="D51" s="14" t="str" cm="1">
        <f t="array" ref="D51">IFERROR(
    _xlfn.LET(
        _xlpm.risultato,
        IFERROR(
            _xlfn.XLOOKUP(TRIM(UPPER(G51)),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pacchetti'!$E$1:$E$530))=TRIM(UPPER(G51)),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51" s="14" t="str" cm="1">
        <f t="array" ref="E51">IF(TRIM($B51)="SG-ANAGRAFE", "Bugni Batte",
    IF(TRIM($B51)="DW01A", "Cauda",
        IFERROR(
            VLOOKUP(
                INDEX('[1]Dettaglio pacchetti'!$AB$1:$AB$530,
                    _xlfn.AGGREGATE(15, 6,
                        (ROW($1:$345))/(ISNUMBER(SEARCH('[1]Dettaglio pacchetti'!$AB$1:$AB$530, $C51))),
                        1)
                ) &amp; "*",
                '[1]Dettaglio pacchetti'!$A$1:$I$530,
                3,
                FALSE
            ),
            IFERROR(VLOOKUP($C51, '[1]Dettaglio pacchetti'!$A$1:$I$530, 3, FALSE), "")
        )
    )
)</f>
        <v/>
      </c>
      <c r="F51" s="14" t="str" cm="1">
        <f t="array" ref="F51">IF(TRIM($B51)="DW01A", "ETL - EDW Estrattori",
    IFERROR(
        VLOOKUP(
            INDEX('[1]Dettaglio pacchetti'!$AB$1:$AB$530,
                _xlfn.AGGREGATE(15, 6,
                    (ROW($1:$345))/(ISNUMBER(SEARCH('[1]Dettaglio pacchetti'!$AB$1:$AB$530, $C51))),
                    1)
            ) &amp; "*",
            '[1]Dettaglio pacchetti'!$A$1:$I$530,
            4,
            FALSE
        ),
        IFERROR(VLOOKUP($C51, '[1]Dettaglio pacchetti'!$A$1:$I$530, 4, FALSE), "")
    )
)</f>
        <v/>
      </c>
      <c r="G51" s="14" t="str" cm="1">
        <f t="array" ref="G51">IF(TRIM($B51)="DW01A", "ETL - EDW Estrattori",
    IF(TRIM($B51)="SG-ANAGRAFE", "SIGEA Anagrafe",
        IFERROR(
            VLOOKUP(
                INDEX('[1]Dettaglio pacchetti'!$AB$1:$AB$530,
                    _xlfn.AGGREGATE(15, 6,
                        (ROW($1:$345))/(ISNUMBER(SEARCH('[1]Dettaglio pacchetti'!$AB$1:$AB$530, $C51))),
                        1)
                ) &amp; "*",
                '[1]Dettaglio pacchetti'!$A$1:$I$530,
                5,
                FALSE
            ),
            IFERROR(VLOOKUP($C51, '[1]Dettaglio pacchetti'!$A$1:$I$530, 5, FALSE), "")
        )
    )
)</f>
        <v/>
      </c>
      <c r="H51" s="14"/>
      <c r="I51" s="7"/>
      <c r="J51" t="str">
        <f t="shared" si="4"/>
        <v/>
      </c>
      <c r="K51" t="str">
        <f t="shared" si="5"/>
        <v/>
      </c>
      <c r="L51" s="14" t="str" cm="1">
        <f t="array" ref="L51">IFERROR(
    VLOOKUP(
        INDEX('[1]Dettaglio pacchetti'!$AB$1:$AB$530,
            _xlfn.AGGREGATE(15, 6,
                ROW($1:$345)/(ISNUMBER(SEARCH('[1]Dettaglio pacchetti'!$AB$1:$AB$530, $C51))),
                1)
        ) &amp; "*",
        '[1]Dettaglio pacchetti'!$A$1:$I$530,
        8,
        FALSE
    ),
    IFERROR(VLOOKUP($C51, '[1]Dettaglio pacchetti'!$A$1:$I$530, 8, FALSE), "")
)</f>
        <v/>
      </c>
      <c r="M51" s="14" t="str" cm="1">
        <f t="array" ref="M51">IFERROR(
    VLOOKUP(
        INDEX('[1]Dettaglio pacchetti'!$AB$1:$AB$530,
            _xlfn.AGGREGATE(15, 6,
                ROW($1:$345)/(ISNUMBER(SEARCH('[1]Dettaglio pacchetti'!$AB$1:$AB$530, $C51))),
                1)
        ) &amp; "*",
        '[1]Dettaglio pacchetti'!$A$1:$I$530,
        9,
        FALSE
    ),
    IFERROR(VLOOKUP($C51, '[1]Dettaglio pacchetti'!$A$1:$I$530, 9, FALSE), "")
)</f>
        <v/>
      </c>
      <c r="N51" s="7"/>
      <c r="O51" s="6" t="s">
        <v>15</v>
      </c>
      <c r="P51" s="6" t="s">
        <v>15</v>
      </c>
      <c r="AA51" t="str" cm="1">
        <f t="array" ref="AA51">IFERROR(VLOOKUP(INDEX('[1]Dettaglio pacchetti'!$AB$1:$AB$530, _xlfn.AGGREGATE(15, 6, (ROW($1:$345))/(ISNUMBER(SEARCH('[1]Dettaglio pacchetti'!$AB$1:$AB$530, $C51))), 1)) &amp; "*", '[1]Dettaglio pacchetti'!$A$1:$N$530, 13, FALSE) &amp; "", "")</f>
        <v/>
      </c>
      <c r="AB51" t="str" cm="1">
        <f t="array" ref="AB51">IF(ISNUMBER(SEARCH("dev.azure.com", AA51)), IFERROR(VLOOKUP(INDEX('[1]Dettaglio pacchetti'!$AB$1:$AB$530, _xlfn.AGGREGATE(15, 6, (ROW($1:$345))/(ISNUMBER(SEARCH('[1]Dettaglio pacchetti'!$AB$1:$AB$530, $C51))), 1)) &amp; "*", '[1]Dettaglio pacchetti'!$A$1:$N$530, 1, FALSE) &amp; "", ""), "")</f>
        <v/>
      </c>
      <c r="AC51" t="str" cm="1">
        <f t="array" ref="AC51">IFERROR(
    VLOOKUP(
        INDEX('[1]Dettaglio pacchetti'!$AB$1:$AB$530, _xlfn.AGGREGATE(15,6,ROW($1:$345)/(ISNUMBER(SEARCH('[1]Dettaglio pacchetti'!$AB$1:$AB$530,$C51))),1)) &amp; "*",
        '[1]Dettaglio pacchetti'!$A$1:$I$530,
        7,
        FALSE
    ),
    IFERROR(VLOOKUP($C51, '[1]Dettaglio pacchetti'!$A$1:$I$530, 7, FALSE), "")
)</f>
        <v/>
      </c>
      <c r="AD51" t="str" cm="1">
        <f t="array" ref="AD51">IFERROR(
    VLOOKUP(
        INDEX('[1]Dettaglio pacchetti'!$AB$1:$AB$530, _xlfn.AGGREGATE(15,6,ROW($1:$345)/(ISNUMBER(SEARCH('[1]Dettaglio pacchetti'!$AB$1:$AB$530,$C51))),1)) &amp; "*",
        '[1]Dettaglio pacchetti'!$A$1:$I$530,
        6,
        FALSE
    ),
    IFERROR(VLOOKUP($C51, '[1]Dettaglio pacchetti'!$A$1:$I$530, 6, FALSE), "")
)</f>
        <v/>
      </c>
      <c r="AE51"/>
    </row>
    <row r="52" spans="2:31" s="4" customFormat="1" ht="14.85" hidden="1" customHeight="1" x14ac:dyDescent="0.3">
      <c r="B52" s="17"/>
      <c r="C52" s="58" t="s">
        <v>356</v>
      </c>
      <c r="D52" s="20" t="str" cm="1">
        <f t="array" ref="D52">IFERROR(
    _xlfn.LET(
        _xlpm.risultato,
        IFERROR(
            _xlfn.XLOOKUP(TRIM(UPPER(G52)),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pacchetti'!$E$1:$E$530))=TRIM(UPPER(G52)),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52" s="14" t="str" cm="1">
        <f t="array" ref="E52">IF(TRIM($B52)="SG-ANAGRAFE", "Bugni Batte",
    IF(TRIM($B52)="DW01A", "Cauda",
        IFERROR(
            VLOOKUP(
                INDEX('[1]Dettaglio pacchetti'!$AB$1:$AB$530,
                    _xlfn.AGGREGATE(15, 6,
                        (ROW($1:$345))/(ISNUMBER(SEARCH('[1]Dettaglio pacchetti'!$AB$1:$AB$530, $C52))),
                        1)
                ) &amp; "*",
                '[1]Dettaglio pacchetti'!$A$1:$I$530,
                3,
                FALSE
            ),
            IFERROR(VLOOKUP($C52, '[1]Dettaglio pacchetti'!$A$1:$I$530, 3, FALSE), "")
        )
    )
)</f>
        <v>Saladini</v>
      </c>
      <c r="F52" s="14" t="str" cm="1">
        <f t="array" ref="F52">IF(TRIM($B52)="DW01A", "ETL - EDW Estrattori",
    IFERROR(
        VLOOKUP(
            INDEX('[1]Dettaglio pacchetti'!$AB$1:$AB$530,
                _xlfn.AGGREGATE(15, 6,
                    (ROW($1:$345))/(ISNUMBER(SEARCH('[1]Dettaglio pacchetti'!$AB$1:$AB$530, $C52))),
                    1)
            ) &amp; "*",
            '[1]Dettaglio pacchetti'!$A$1:$I$530,
            4,
            FALSE
        ),
        IFERROR(VLOOKUP($C52, '[1]Dettaglio pacchetti'!$A$1:$I$530, 4, FALSE), "")
    )
)</f>
        <v>Rilascio pacchetti Schedulazioni APP OPCON</v>
      </c>
      <c r="G52" s="14" t="str" cm="1">
        <f t="array" ref="G52">IF(TRIM($B52)="DW01A", "ETL - EDW Estrattori",
    IF(TRIM($B52)="SG-ANAGRAFE", "SIGEA Anagrafe",
        IFERROR(
            VLOOKUP(
                INDEX('[1]Dettaglio pacchetti'!$AB$1:$AB$530,
                    _xlfn.AGGREGATE(15, 6,
                        (ROW($1:$345))/(ISNUMBER(SEARCH('[1]Dettaglio pacchetti'!$AB$1:$AB$530, $C52))),
                        1)
                ) &amp; "*",
                '[1]Dettaglio pacchetti'!$A$1:$I$530,
                5,
                FALSE
            ),
            IFERROR(VLOOKUP($C52, '[1]Dettaglio pacchetti'!$A$1:$I$530, 5, FALSE), "")
        )
    )
)</f>
        <v>Schedulazione</v>
      </c>
      <c r="H52" s="14" t="str" cm="1">
        <f t="array" ref="H52">IFERROR(
    VLOOKUP(
        INDEX('[1]Dettaglio pacchetti'!$AB$1:$AB$530,
            _xlfn.AGGREGATE(15, 6,
                (ROW($1:$345))/(ISNUMBER(SEARCH('[1]Dettaglio pacchetti'!$AB$1:$AB$530, $C52))),
                1)
        ) &amp; "*",
        '[1]Dettaglio pacchetti'!$A$1:$I$530,
        6,
        FALSE
    ),
    IFERROR(VLOOKUP($C52, '[1]Dettaglio pacchetti'!$A$1:$I$530, 6, FALSE), "")
)</f>
        <v>Ikan Alm</v>
      </c>
      <c r="I52" s="7" t="str">
        <f t="shared" si="3"/>
        <v/>
      </c>
      <c r="J52" t="str">
        <f t="shared" si="4"/>
        <v/>
      </c>
      <c r="K52" t="str">
        <f t="shared" si="5"/>
        <v>APPOPCON</v>
      </c>
      <c r="L52" s="14" t="str" cm="1">
        <f t="array" ref="L52">IFERROR(
    VLOOKUP(
        INDEX('[1]Dettaglio pacchetti'!$AB$1:$AB$530,
            _xlfn.AGGREGATE(15, 6,
                ROW($1:$345)/(ISNUMBER(SEARCH('[1]Dettaglio pacchetti'!$AB$1:$AB$530, $C52))),
                1)
        ) &amp; "*",
        '[1]Dettaglio pacchetti'!$A$1:$I$530,
        8,
        FALSE
    ),
    IFERROR(VLOOKUP($C52, '[1]Dettaglio pacchetti'!$A$1:$I$530, 8, FALSE), "")
)</f>
        <v>dopo ok al rilascio</v>
      </c>
      <c r="M52" s="14" t="str" cm="1">
        <f t="array" ref="M52">IFERROR(
    VLOOKUP(
        INDEX('[1]Dettaglio pacchetti'!$AB$1:$AB$530,
            _xlfn.AGGREGATE(15, 6,
                ROW($1:$345)/(ISNUMBER(SEARCH('[1]Dettaglio pacchetti'!$AB$1:$AB$530, $C52))),
                1)
        ) &amp; "*",
        '[1]Dettaglio pacchetti'!$A$1:$I$530,
        9,
        FALSE
    ),
    IFERROR(VLOOKUP($C52, '[1]Dettaglio pacchetti'!$A$1:$I$530, 9, FALSE), "")
)</f>
        <v>Sched</v>
      </c>
      <c r="N52" s="7"/>
      <c r="O52" s="6"/>
      <c r="P52" s="6"/>
      <c r="AA52" t="str" cm="1">
        <f t="array" ref="AA52">IFERROR(VLOOKUP(INDEX('[1]Dettaglio pacchetti'!$AB$1:$AB$530, _xlfn.AGGREGATE(15, 6, (ROW($1:$345))/(ISNUMBER(SEARCH('[1]Dettaglio pacchetti'!$AB$1:$AB$530, $C52))), 1)) &amp; "*", '[1]Dettaglio pacchetti'!$A$1:$N$530, 13, FALSE) &amp; "", "")</f>
        <v/>
      </c>
      <c r="AB52" t="str" cm="1">
        <f t="array" ref="AB52">IF(ISNUMBER(SEARCH("dev.azure.com", AA52)), IFERROR(VLOOKUP(INDEX('[1]Dettaglio pacchetti'!$AB$1:$AB$530, _xlfn.AGGREGATE(15, 6, (ROW($1:$345))/(ISNUMBER(SEARCH('[1]Dettaglio pacchetti'!$AB$1:$AB$530, $C52))), 1)) &amp; "*", '[1]Dettaglio pacchetti'!$A$1:$N$530, 1, FALSE) &amp; "", ""), "")</f>
        <v/>
      </c>
      <c r="AC52" t="str" cm="1">
        <f t="array" ref="AC52">IFERROR(
    VLOOKUP(
        INDEX('[1]Dettaglio pacchetti'!$AB$1:$AB$530, _xlfn.AGGREGATE(15,6,ROW($1:$345)/(ISNUMBER(SEARCH('[1]Dettaglio pacchetti'!$AB$1:$AB$530,$C52))),1)) &amp; "*",
        '[1]Dettaglio pacchetti'!$A$1:$I$530,
        7,
        FALSE
    ),
    IFERROR(VLOOKUP($C52, '[1]Dettaglio pacchetti'!$A$1:$I$530, 7, FALSE), "")
)</f>
        <v>APPOPCON</v>
      </c>
      <c r="AD52" t="str" cm="1">
        <f t="array" ref="AD52">IFERROR(
    VLOOKUP(
        INDEX('[1]Dettaglio pacchetti'!$AB$1:$AB$530, _xlfn.AGGREGATE(15,6,ROW($1:$345)/(ISNUMBER(SEARCH('[1]Dettaglio pacchetti'!$AB$1:$AB$530,$C52))),1)) &amp; "*",
        '[1]Dettaglio pacchetti'!$A$1:$I$530,
        6,
        FALSE
    ),
    IFERROR(VLOOKUP($C52, '[1]Dettaglio pacchetti'!$A$1:$I$530, 6, FALSE), "")
)</f>
        <v>Ikan Alm</v>
      </c>
      <c r="AE52"/>
    </row>
    <row r="53" spans="2:31" s="4" customFormat="1" ht="14.85" hidden="1" customHeight="1" x14ac:dyDescent="0.3">
      <c r="B53" s="17"/>
      <c r="C53" s="14"/>
      <c r="D53" s="20" t="str" cm="1">
        <f t="array" ref="D53">IFERROR(
    _xlfn.LET(
        _xlpm.risultato,
        IFERROR(
            _xlfn.XLOOKUP(TRIM(UPPER(G53)),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pacchetti'!$E$1:$E$530))=TRIM(UPPER(G53)),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53" s="14" t="str" cm="1">
        <f t="array" ref="E53">IF(TRIM($B53)="SG-ANAGRAFE", "Bugni Batte",
    IF(TRIM($B53)="DW01A", "Cauda",
        IFERROR(
            VLOOKUP(
                INDEX('[1]Dettaglio pacchetti'!$AB$1:$AB$530,
                    _xlfn.AGGREGATE(15, 6,
                        (ROW($1:$345))/(ISNUMBER(SEARCH('[1]Dettaglio pacchetti'!$AB$1:$AB$530, $C53))),
                        1)
                ) &amp; "*",
                '[1]Dettaglio pacchetti'!$A$1:$I$530,
                3,
                FALSE
            ),
            IFERROR(VLOOKUP($C53, '[1]Dettaglio pacchetti'!$A$1:$I$530, 3, FALSE), "")
        )
    )
)</f>
        <v/>
      </c>
      <c r="F53" s="14" t="str" cm="1">
        <f t="array" ref="F53">IF(TRIM($B53)="DW01A", "ETL - EDW Estrattori",
    IFERROR(
        VLOOKUP(
            INDEX('[1]Dettaglio pacchetti'!$AB$1:$AB$530,
                _xlfn.AGGREGATE(15, 6,
                    (ROW($1:$345))/(ISNUMBER(SEARCH('[1]Dettaglio pacchetti'!$AB$1:$AB$530, $C53))),
                    1)
            ) &amp; "*",
            '[1]Dettaglio pacchetti'!$A$1:$I$530,
            4,
            FALSE
        ),
        IFERROR(VLOOKUP($C53, '[1]Dettaglio pacchetti'!$A$1:$I$530, 4, FALSE), "")
    )
)</f>
        <v/>
      </c>
      <c r="G53" s="14" t="str" cm="1">
        <f t="array" ref="G53">IF(TRIM($B53)="DW01A", "ETL - EDW Estrattori",
    IF(TRIM($B53)="SG-ANAGRAFE", "SIGEA Anagrafe",
        IFERROR(
            VLOOKUP(
                INDEX('[1]Dettaglio pacchetti'!$AB$1:$AB$530,
                    _xlfn.AGGREGATE(15, 6,
                        (ROW($1:$345))/(ISNUMBER(SEARCH('[1]Dettaglio pacchetti'!$AB$1:$AB$530, $C53))),
                        1)
                ) &amp; "*",
                '[1]Dettaglio pacchetti'!$A$1:$I$530,
                5,
                FALSE
            ),
            IFERROR(VLOOKUP($C53, '[1]Dettaglio pacchetti'!$A$1:$I$530, 5, FALSE), "")
        )
    )
)</f>
        <v/>
      </c>
      <c r="H53" s="14" t="str" cm="1">
        <f t="array" ref="H53">IFERROR(
    VLOOKUP(
        INDEX('[1]Dettaglio pacchetti'!$AB$1:$AB$530,
            _xlfn.AGGREGATE(15, 6,
                (ROW($1:$345))/(ISNUMBER(SEARCH('[1]Dettaglio pacchetti'!$AB$1:$AB$530, $C53))),
                1)
        ) &amp; "*",
        '[1]Dettaglio pacchetti'!$A$1:$I$530,
        6,
        FALSE
    ),
    IFERROR(VLOOKUP($C53, '[1]Dettaglio pacchetti'!$A$1:$I$530, 6, FALSE), "")
)</f>
        <v/>
      </c>
      <c r="I53" s="7" t="str">
        <f t="shared" si="3"/>
        <v/>
      </c>
      <c r="J53" t="str">
        <f t="shared" si="4"/>
        <v/>
      </c>
      <c r="K53" t="str">
        <f t="shared" si="5"/>
        <v/>
      </c>
      <c r="L53" s="14" t="str" cm="1">
        <f t="array" ref="L53">IFERROR(
    VLOOKUP(
        INDEX('[1]Dettaglio pacchetti'!$AB$1:$AB$530,
            _xlfn.AGGREGATE(15, 6,
                ROW($1:$345)/(ISNUMBER(SEARCH('[1]Dettaglio pacchetti'!$AB$1:$AB$530, $C53))),
                1)
        ) &amp; "*",
        '[1]Dettaglio pacchetti'!$A$1:$I$530,
        8,
        FALSE
    ),
    IFERROR(VLOOKUP($C53, '[1]Dettaglio pacchetti'!$A$1:$I$530, 8, FALSE), "")
)</f>
        <v/>
      </c>
      <c r="M53" s="14" t="str" cm="1">
        <f t="array" ref="M53">IFERROR(
    VLOOKUP(
        INDEX('[1]Dettaglio pacchetti'!$AB$1:$AB$530,
            _xlfn.AGGREGATE(15, 6,
                ROW($1:$345)/(ISNUMBER(SEARCH('[1]Dettaglio pacchetti'!$AB$1:$AB$530, $C53))),
                1)
        ) &amp; "*",
        '[1]Dettaglio pacchetti'!$A$1:$I$530,
        9,
        FALSE
    ),
    IFERROR(VLOOKUP($C53, '[1]Dettaglio pacchetti'!$A$1:$I$530, 9, FALSE), "")
)</f>
        <v/>
      </c>
      <c r="N53" s="7"/>
      <c r="O53" s="6"/>
      <c r="P53" s="6"/>
      <c r="T53" s="4" t="s">
        <v>16</v>
      </c>
      <c r="AA53" t="str" cm="1">
        <f t="array" ref="AA53">IFERROR(VLOOKUP(INDEX('[1]Dettaglio pacchetti'!$AB$1:$AB$530, _xlfn.AGGREGATE(15, 6, (ROW($1:$345))/(ISNUMBER(SEARCH('[1]Dettaglio pacchetti'!$AB$1:$AB$530, $C53))), 1)) &amp; "*", '[1]Dettaglio pacchetti'!$A$1:$N$530, 13, FALSE) &amp; "", "")</f>
        <v/>
      </c>
      <c r="AB53" t="str" cm="1">
        <f t="array" ref="AB53">IF(ISNUMBER(SEARCH("dev.azure.com", AA53)), IFERROR(VLOOKUP(INDEX('[1]Dettaglio pacchetti'!$AB$1:$AB$530, _xlfn.AGGREGATE(15, 6, (ROW($1:$345))/(ISNUMBER(SEARCH('[1]Dettaglio pacchetti'!$AB$1:$AB$530, $C53))), 1)) &amp; "*", '[1]Dettaglio pacchetti'!$A$1:$N$530, 1, FALSE) &amp; "", ""), "")</f>
        <v/>
      </c>
      <c r="AC53" t="str" cm="1">
        <f t="array" ref="AC53">IFERROR(
    VLOOKUP(
        INDEX('[1]Dettaglio pacchetti'!$AB$1:$AB$530, _xlfn.AGGREGATE(15,6,ROW($1:$345)/(ISNUMBER(SEARCH('[1]Dettaglio pacchetti'!$AB$1:$AB$530,$C53))),1)) &amp; "*",
        '[1]Dettaglio pacchetti'!$A$1:$I$530,
        7,
        FALSE
    ),
    IFERROR(VLOOKUP($C53, '[1]Dettaglio pacchetti'!$A$1:$I$530, 7, FALSE), "")
)</f>
        <v/>
      </c>
      <c r="AD53" t="str" cm="1">
        <f t="array" ref="AD53">IFERROR(
    VLOOKUP(
        INDEX('[1]Dettaglio pacchetti'!$AB$1:$AB$530, _xlfn.AGGREGATE(15,6,ROW($1:$345)/(ISNUMBER(SEARCH('[1]Dettaglio pacchetti'!$AB$1:$AB$530,$C53))),1)) &amp; "*",
        '[1]Dettaglio pacchetti'!$A$1:$I$530,
        6,
        FALSE
    ),
    IFERROR(VLOOKUP($C53, '[1]Dettaglio pacchetti'!$A$1:$I$530, 6, FALSE), "")
)</f>
        <v/>
      </c>
      <c r="AE53"/>
    </row>
    <row r="54" spans="2:31" s="4" customFormat="1" ht="14.85" hidden="1" customHeight="1" x14ac:dyDescent="0.3">
      <c r="B54" s="17"/>
      <c r="C54" s="14"/>
      <c r="D54" s="20" t="str" cm="1">
        <f t="array" ref="D54">IFERROR(
    _xlfn.LET(
        _xlpm.risultato,
        IFERROR(
            _xlfn.XLOOKUP(TRIM(UPPER(G54)),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pacchetti'!$E$1:$E$530))=TRIM(UPPER(G54)),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54" s="14" t="str" cm="1">
        <f t="array" ref="E54">IF(TRIM($B54)="SG-ANAGRAFE", "Bugni Batte",
    IF(TRIM($B54)="DW01A", "Cauda",
        IFERROR(
            VLOOKUP(
                INDEX('[1]Dettaglio pacchetti'!$AB$1:$AB$530,
                    _xlfn.AGGREGATE(15, 6,
                        (ROW($1:$345))/(ISNUMBER(SEARCH('[1]Dettaglio pacchetti'!$AB$1:$AB$530, $C54))),
                        1)
                ) &amp; "*",
                '[1]Dettaglio pacchetti'!$A$1:$I$530,
                3,
                FALSE
            ),
            IFERROR(VLOOKUP($C54, '[1]Dettaglio pacchetti'!$A$1:$I$530, 3, FALSE), "")
        )
    )
)</f>
        <v/>
      </c>
      <c r="F54" s="14" t="str" cm="1">
        <f t="array" ref="F54">IF(TRIM($B54)="DW01A", "ETL - EDW Estrattori",
    IFERROR(
        VLOOKUP(
            INDEX('[1]Dettaglio pacchetti'!$AB$1:$AB$530,
                _xlfn.AGGREGATE(15, 6,
                    (ROW($1:$345))/(ISNUMBER(SEARCH('[1]Dettaglio pacchetti'!$AB$1:$AB$530, $C54))),
                    1)
            ) &amp; "*",
            '[1]Dettaglio pacchetti'!$A$1:$I$530,
            4,
            FALSE
        ),
        IFERROR(VLOOKUP($C54, '[1]Dettaglio pacchetti'!$A$1:$I$530, 4, FALSE), "")
    )
)</f>
        <v/>
      </c>
      <c r="G54" s="14" t="str" cm="1">
        <f t="array" ref="G54">IF(TRIM($B54)="DW01A", "ETL - EDW Estrattori",
    IF(TRIM($B54)="SG-ANAGRAFE", "SIGEA Anagrafe",
        IFERROR(
            VLOOKUP(
                INDEX('[1]Dettaglio pacchetti'!$AB$1:$AB$530,
                    _xlfn.AGGREGATE(15, 6,
                        (ROW($1:$345))/(ISNUMBER(SEARCH('[1]Dettaglio pacchetti'!$AB$1:$AB$530, $C54))),
                        1)
                ) &amp; "*",
                '[1]Dettaglio pacchetti'!$A$1:$I$530,
                5,
                FALSE
            ),
            IFERROR(VLOOKUP($C54, '[1]Dettaglio pacchetti'!$A$1:$I$530, 5, FALSE), "")
        )
    )
)</f>
        <v/>
      </c>
      <c r="H54" s="14" t="str" cm="1">
        <f t="array" ref="H54">IFERROR(
    VLOOKUP(
        INDEX('[1]Dettaglio pacchetti'!$AB$1:$AB$530,
            _xlfn.AGGREGATE(15, 6,
                (ROW($1:$345))/(ISNUMBER(SEARCH('[1]Dettaglio pacchetti'!$AB$1:$AB$530, $C54))),
                1)
        ) &amp; "*",
        '[1]Dettaglio pacchetti'!$A$1:$I$530,
        6,
        FALSE
    ),
    IFERROR(VLOOKUP($C54, '[1]Dettaglio pacchetti'!$A$1:$I$530, 6, FALSE), "")
)</f>
        <v/>
      </c>
      <c r="I54" s="7" t="str">
        <f t="shared" si="3"/>
        <v/>
      </c>
      <c r="J54" t="str">
        <f t="shared" si="4"/>
        <v/>
      </c>
      <c r="K54" t="str">
        <f t="shared" si="5"/>
        <v/>
      </c>
      <c r="L54" s="14" t="str" cm="1">
        <f t="array" ref="L54">IFERROR(
    VLOOKUP(
        INDEX('[1]Dettaglio pacchetti'!$AB$1:$AB$530,
            _xlfn.AGGREGATE(15, 6,
                ROW($1:$345)/(ISNUMBER(SEARCH('[1]Dettaglio pacchetti'!$AB$1:$AB$530, $C54))),
                1)
        ) &amp; "*",
        '[1]Dettaglio pacchetti'!$A$1:$I$530,
        8,
        FALSE
    ),
    IFERROR(VLOOKUP($C54, '[1]Dettaglio pacchetti'!$A$1:$I$530, 8, FALSE), "")
)</f>
        <v/>
      </c>
      <c r="M54" s="14" t="str" cm="1">
        <f t="array" ref="M54">IFERROR(
    VLOOKUP(
        INDEX('[1]Dettaglio pacchetti'!$AB$1:$AB$530,
            _xlfn.AGGREGATE(15, 6,
                ROW($1:$345)/(ISNUMBER(SEARCH('[1]Dettaglio pacchetti'!$AB$1:$AB$530, $C54))),
                1)
        ) &amp; "*",
        '[1]Dettaglio pacchetti'!$A$1:$I$530,
        9,
        FALSE
    ),
    IFERROR(VLOOKUP($C54, '[1]Dettaglio pacchetti'!$A$1:$I$530, 9, FALSE), "")
)</f>
        <v/>
      </c>
      <c r="N54" s="7"/>
      <c r="O54" s="6"/>
      <c r="P54" s="6"/>
      <c r="AA54" t="str" cm="1">
        <f t="array" ref="AA54">IFERROR(VLOOKUP(INDEX('[1]Dettaglio pacchetti'!$AB$1:$AB$530, _xlfn.AGGREGATE(15, 6, (ROW($1:$345))/(ISNUMBER(SEARCH('[1]Dettaglio pacchetti'!$AB$1:$AB$530, $C54))), 1)) &amp; "*", '[1]Dettaglio pacchetti'!$A$1:$N$530, 13, FALSE) &amp; "", "")</f>
        <v/>
      </c>
      <c r="AB54" t="str" cm="1">
        <f t="array" ref="AB54">IF(ISNUMBER(SEARCH("dev.azure.com", AA54)), IFERROR(VLOOKUP(INDEX('[1]Dettaglio pacchetti'!$AB$1:$AB$530, _xlfn.AGGREGATE(15, 6, (ROW($1:$345))/(ISNUMBER(SEARCH('[1]Dettaglio pacchetti'!$AB$1:$AB$530, $C54))), 1)) &amp; "*", '[1]Dettaglio pacchetti'!$A$1:$N$530, 1, FALSE) &amp; "", ""), "")</f>
        <v/>
      </c>
      <c r="AC54" t="str" cm="1">
        <f t="array" ref="AC54">IFERROR(
    VLOOKUP(
        INDEX('[1]Dettaglio pacchetti'!$AB$1:$AB$530, _xlfn.AGGREGATE(15,6,ROW($1:$345)/(ISNUMBER(SEARCH('[1]Dettaglio pacchetti'!$AB$1:$AB$530,$C54))),1)) &amp; "*",
        '[1]Dettaglio pacchetti'!$A$1:$I$530,
        7,
        FALSE
    ),
    IFERROR(VLOOKUP($C54, '[1]Dettaglio pacchetti'!$A$1:$I$530, 7, FALSE), "")
)</f>
        <v/>
      </c>
      <c r="AD54" t="str" cm="1">
        <f t="array" ref="AD54">IFERROR(
    VLOOKUP(
        INDEX('[1]Dettaglio pacchetti'!$AB$1:$AB$530, _xlfn.AGGREGATE(15,6,ROW($1:$345)/(ISNUMBER(SEARCH('[1]Dettaglio pacchetti'!$AB$1:$AB$530,$C54))),1)) &amp; "*",
        '[1]Dettaglio pacchetti'!$A$1:$I$530,
        6,
        FALSE
    ),
    IFERROR(VLOOKUP($C54, '[1]Dettaglio pacchetti'!$A$1:$I$530, 6, FALSE), "")
)</f>
        <v/>
      </c>
      <c r="AE54"/>
    </row>
    <row r="55" spans="2:31" s="4" customFormat="1" ht="14.85" hidden="1" customHeight="1" x14ac:dyDescent="0.3">
      <c r="B55" s="17"/>
      <c r="C55" s="14"/>
      <c r="D55" s="20" t="str" cm="1">
        <f t="array" ref="D55">IFERROR(
    _xlfn.LET(
        _xlpm.risultato,
        IFERROR(
            _xlfn.XLOOKUP(TRIM(UPPER(G55)),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pacchetti'!$E$1:$E$530))=TRIM(UPPER(G55)),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55" s="14" t="str" cm="1">
        <f t="array" ref="E55">IF(TRIM($B55)="SG-ANAGRAFE", "Bugni Batte",
    IF(TRIM($B55)="DW01A", "Cauda",
        IFERROR(
            VLOOKUP(
                INDEX('[1]Dettaglio pacchetti'!$AB$1:$AB$530,
                    _xlfn.AGGREGATE(15, 6,
                        (ROW($1:$345))/(ISNUMBER(SEARCH('[1]Dettaglio pacchetti'!$AB$1:$AB$530, $C55))),
                        1)
                ) &amp; "*",
                '[1]Dettaglio pacchetti'!$A$1:$I$530,
                3,
                FALSE
            ),
            IFERROR(VLOOKUP($C55, '[1]Dettaglio pacchetti'!$A$1:$I$530, 3, FALSE), "")
        )
    )
)</f>
        <v/>
      </c>
      <c r="F55" s="14" t="str" cm="1">
        <f t="array" ref="F55">IF(TRIM($B55)="DW01A", "ETL - EDW Estrattori",
    IFERROR(
        VLOOKUP(
            INDEX('[1]Dettaglio pacchetti'!$AB$1:$AB$530,
                _xlfn.AGGREGATE(15, 6,
                    (ROW($1:$345))/(ISNUMBER(SEARCH('[1]Dettaglio pacchetti'!$AB$1:$AB$530, $C55))),
                    1)
            ) &amp; "*",
            '[1]Dettaglio pacchetti'!$A$1:$I$530,
            4,
            FALSE
        ),
        IFERROR(VLOOKUP($C55, '[1]Dettaglio pacchetti'!$A$1:$I$530, 4, FALSE), "")
    )
)</f>
        <v/>
      </c>
      <c r="G55" s="14" t="str" cm="1">
        <f t="array" ref="G55">IF(TRIM($B55)="DW01A", "ETL - EDW Estrattori",
    IF(TRIM($B55)="SG-ANAGRAFE", "SIGEA Anagrafe",
        IFERROR(
            VLOOKUP(
                INDEX('[1]Dettaglio pacchetti'!$AB$1:$AB$530,
                    _xlfn.AGGREGATE(15, 6,
                        (ROW($1:$345))/(ISNUMBER(SEARCH('[1]Dettaglio pacchetti'!$AB$1:$AB$530, $C55))),
                        1)
                ) &amp; "*",
                '[1]Dettaglio pacchetti'!$A$1:$I$530,
                5,
                FALSE
            ),
            IFERROR(VLOOKUP($C55, '[1]Dettaglio pacchetti'!$A$1:$I$530, 5, FALSE), "")
        )
    )
)</f>
        <v/>
      </c>
      <c r="H55" s="14" t="str" cm="1">
        <f t="array" ref="H55">IFERROR(
    VLOOKUP(
        INDEX('[1]Dettaglio pacchetti'!$AB$1:$AB$530,
            _xlfn.AGGREGATE(15, 6,
                (ROW($1:$345))/(ISNUMBER(SEARCH('[1]Dettaglio pacchetti'!$AB$1:$AB$530, $C55))),
                1)
        ) &amp; "*",
        '[1]Dettaglio pacchetti'!$A$1:$I$530,
        6,
        FALSE
    ),
    IFERROR(VLOOKUP($C55, '[1]Dettaglio pacchetti'!$A$1:$I$530, 6, FALSE), "")
)</f>
        <v/>
      </c>
      <c r="I55" s="7" t="str">
        <f t="shared" si="3"/>
        <v/>
      </c>
      <c r="J55" t="str">
        <f t="shared" si="4"/>
        <v/>
      </c>
      <c r="K55" t="str">
        <f t="shared" si="5"/>
        <v/>
      </c>
      <c r="L55" s="14" t="str" cm="1">
        <f t="array" ref="L55">IFERROR(
    VLOOKUP(
        INDEX('[1]Dettaglio pacchetti'!$AB$1:$AB$530,
            _xlfn.AGGREGATE(15, 6,
                ROW($1:$345)/(ISNUMBER(SEARCH('[1]Dettaglio pacchetti'!$AB$1:$AB$530, $C55))),
                1)
        ) &amp; "*",
        '[1]Dettaglio pacchetti'!$A$1:$I$530,
        8,
        FALSE
    ),
    IFERROR(VLOOKUP($C55, '[1]Dettaglio pacchetti'!$A$1:$I$530, 8, FALSE), "")
)</f>
        <v/>
      </c>
      <c r="M55" s="14" t="str" cm="1">
        <f t="array" ref="M55">IFERROR(
    VLOOKUP(
        INDEX('[1]Dettaglio pacchetti'!$AB$1:$AB$530,
            _xlfn.AGGREGATE(15, 6,
                ROW($1:$345)/(ISNUMBER(SEARCH('[1]Dettaglio pacchetti'!$AB$1:$AB$530, $C55))),
                1)
        ) &amp; "*",
        '[1]Dettaglio pacchetti'!$A$1:$I$530,
        9,
        FALSE
    ),
    IFERROR(VLOOKUP($C55, '[1]Dettaglio pacchetti'!$A$1:$I$530, 9, FALSE), "")
)</f>
        <v/>
      </c>
      <c r="N55" s="7"/>
      <c r="O55" s="6"/>
      <c r="P55" s="6"/>
      <c r="AA55" t="str" cm="1">
        <f t="array" ref="AA55">IFERROR(VLOOKUP(INDEX('[1]Dettaglio pacchetti'!$AB$1:$AB$530, _xlfn.AGGREGATE(15, 6, (ROW($1:$345))/(ISNUMBER(SEARCH('[1]Dettaglio pacchetti'!$AB$1:$AB$530, $C55))), 1)) &amp; "*", '[1]Dettaglio pacchetti'!$A$1:$N$530, 13, FALSE) &amp; "", "")</f>
        <v/>
      </c>
      <c r="AB55" t="str" cm="1">
        <f t="array" ref="AB55">IF(ISNUMBER(SEARCH("dev.azure.com", AA55)), IFERROR(VLOOKUP(INDEX('[1]Dettaglio pacchetti'!$AB$1:$AB$530, _xlfn.AGGREGATE(15, 6, (ROW($1:$345))/(ISNUMBER(SEARCH('[1]Dettaglio pacchetti'!$AB$1:$AB$530, $C55))), 1)) &amp; "*", '[1]Dettaglio pacchetti'!$A$1:$N$530, 1, FALSE) &amp; "", ""), "")</f>
        <v/>
      </c>
      <c r="AC55" t="str" cm="1">
        <f t="array" ref="AC55">IFERROR(
    VLOOKUP(
        INDEX('[1]Dettaglio pacchetti'!$AB$1:$AB$530, _xlfn.AGGREGATE(15,6,ROW($1:$345)/(ISNUMBER(SEARCH('[1]Dettaglio pacchetti'!$AB$1:$AB$530,$C55))),1)) &amp; "*",
        '[1]Dettaglio pacchetti'!$A$1:$I$530,
        7,
        FALSE
    ),
    IFERROR(VLOOKUP($C55, '[1]Dettaglio pacchetti'!$A$1:$I$530, 7, FALSE), "")
)</f>
        <v/>
      </c>
      <c r="AD55" t="str" cm="1">
        <f t="array" ref="AD55">IFERROR(
    VLOOKUP(
        INDEX('[1]Dettaglio pacchetti'!$AB$1:$AB$530, _xlfn.AGGREGATE(15,6,ROW($1:$345)/(ISNUMBER(SEARCH('[1]Dettaglio pacchetti'!$AB$1:$AB$530,$C55))),1)) &amp; "*",
        '[1]Dettaglio pacchetti'!$A$1:$I$530,
        6,
        FALSE
    ),
    IFERROR(VLOOKUP($C55, '[1]Dettaglio pacchetti'!$A$1:$I$530, 6, FALSE), "")
)</f>
        <v/>
      </c>
      <c r="AE55"/>
    </row>
    <row r="56" spans="2:31" hidden="1" x14ac:dyDescent="0.3">
      <c r="B56" s="17"/>
      <c r="C56" s="14"/>
      <c r="D56" s="20" t="str" cm="1">
        <f t="array" ref="D56">IFERROR(
    _xlfn.LET(
        _xlpm.risultato,
        IFERROR(
            _xlfn.XLOOKUP(TRIM(UPPER(G56)),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pacchetti'!$E$1:$E$530))=TRIM(UPPER(G56)),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56" s="14" t="str" cm="1">
        <f t="array" ref="E56">IF(TRIM($B56)="SG-ANAGRAFE", "Bugni Batte",
    IF(TRIM($B56)="DW01A", "Cauda",
        IFERROR(
            VLOOKUP(
                INDEX('[1]Dettaglio pacchetti'!$AB$1:$AB$530,
                    _xlfn.AGGREGATE(15, 6,
                        (ROW($1:$345))/(ISNUMBER(SEARCH('[1]Dettaglio pacchetti'!$AB$1:$AB$530, $C56))),
                        1)
                ) &amp; "*",
                '[1]Dettaglio pacchetti'!$A$1:$I$530,
                3,
                FALSE
            ),
            IFERROR(VLOOKUP($C56, '[1]Dettaglio pacchetti'!$A$1:$I$530, 3, FALSE), "")
        )
    )
)</f>
        <v/>
      </c>
      <c r="F56" s="14" t="str" cm="1">
        <f t="array" ref="F56">IF(TRIM($B56)="DW01A", "ETL - EDW Estrattori",
    IFERROR(
        VLOOKUP(
            INDEX('[1]Dettaglio pacchetti'!$AB$1:$AB$530,
                _xlfn.AGGREGATE(15, 6,
                    (ROW($1:$345))/(ISNUMBER(SEARCH('[1]Dettaglio pacchetti'!$AB$1:$AB$530, $C56))),
                    1)
            ) &amp; "*",
            '[1]Dettaglio pacchetti'!$A$1:$I$530,
            4,
            FALSE
        ),
        IFERROR(VLOOKUP($C56, '[1]Dettaglio pacchetti'!$A$1:$I$530, 4, FALSE), "")
    )
)</f>
        <v/>
      </c>
      <c r="G56" s="14" t="str" cm="1">
        <f t="array" ref="G56">IF(TRIM($B56)="DW01A", "ETL - EDW Estrattori",
    IF(TRIM($B56)="SG-ANAGRAFE", "SIGEA Anagrafe",
        IFERROR(
            VLOOKUP(
                INDEX('[1]Dettaglio pacchetti'!$AB$1:$AB$530,
                    _xlfn.AGGREGATE(15, 6,
                        (ROW($1:$345))/(ISNUMBER(SEARCH('[1]Dettaglio pacchetti'!$AB$1:$AB$530, $C56))),
                        1)
                ) &amp; "*",
                '[1]Dettaglio pacchetti'!$A$1:$I$530,
                5,
                FALSE
            ),
            IFERROR(VLOOKUP($C56, '[1]Dettaglio pacchetti'!$A$1:$I$530, 5, FALSE), "")
        )
    )
)</f>
        <v/>
      </c>
      <c r="H56" s="14" t="str" cm="1">
        <f t="array" ref="H56">IFERROR(
    VLOOKUP(
        INDEX('[1]Dettaglio pacchetti'!$AB$1:$AB$530,
            _xlfn.AGGREGATE(15, 6,
                (ROW($1:$345))/(ISNUMBER(SEARCH('[1]Dettaglio pacchetti'!$AB$1:$AB$530, $C56))),
                1)
        ) &amp; "*",
        '[1]Dettaglio pacchetti'!$A$1:$I$530,
        6,
        FALSE
    ),
    IFERROR(VLOOKUP($C56, '[1]Dettaglio pacchetti'!$A$1:$I$530, 6, FALSE), "")
)</f>
        <v/>
      </c>
      <c r="I56" s="7" t="str">
        <f t="shared" si="3"/>
        <v/>
      </c>
      <c r="J56" t="str">
        <f t="shared" si="4"/>
        <v/>
      </c>
      <c r="K56" t="str">
        <f t="shared" si="5"/>
        <v/>
      </c>
      <c r="L56" s="14" t="str" cm="1">
        <f t="array" ref="L56">IFERROR(
    VLOOKUP(
        INDEX('[1]Dettaglio pacchetti'!$AB$1:$AB$530,
            _xlfn.AGGREGATE(15, 6,
                ROW($1:$345)/(ISNUMBER(SEARCH('[1]Dettaglio pacchetti'!$AB$1:$AB$530, $C56))),
                1)
        ) &amp; "*",
        '[1]Dettaglio pacchetti'!$A$1:$I$530,
        8,
        FALSE
    ),
    IFERROR(VLOOKUP($C56, '[1]Dettaglio pacchetti'!$A$1:$I$530, 8, FALSE), "")
)</f>
        <v/>
      </c>
      <c r="M56" s="14" t="str" cm="1">
        <f t="array" ref="M56">IFERROR(
    VLOOKUP(
        INDEX('[1]Dettaglio pacchetti'!$AB$1:$AB$530,
            _xlfn.AGGREGATE(15, 6,
                ROW($1:$345)/(ISNUMBER(SEARCH('[1]Dettaglio pacchetti'!$AB$1:$AB$530, $C56))),
                1)
        ) &amp; "*",
        '[1]Dettaglio pacchetti'!$A$1:$I$530,
        9,
        FALSE
    ),
    IFERROR(VLOOKUP($C56, '[1]Dettaglio pacchetti'!$A$1:$I$530, 9, FALSE), "")
)</f>
        <v/>
      </c>
      <c r="N56" s="7"/>
      <c r="P56" s="6"/>
      <c r="AA56" t="str" cm="1">
        <f t="array" ref="AA56">IFERROR(VLOOKUP(INDEX('[1]Dettaglio pacchetti'!$AB$1:$AB$530, _xlfn.AGGREGATE(15, 6, (ROW($1:$345))/(ISNUMBER(SEARCH('[1]Dettaglio pacchetti'!$AB$1:$AB$530, $C56))), 1)) &amp; "*", '[1]Dettaglio pacchetti'!$A$1:$N$530, 13, FALSE) &amp; "", "")</f>
        <v/>
      </c>
      <c r="AB56" t="str" cm="1">
        <f t="array" ref="AB56">IF(ISNUMBER(SEARCH("dev.azure.com", AA56)), IFERROR(VLOOKUP(INDEX('[1]Dettaglio pacchetti'!$AB$1:$AB$530, _xlfn.AGGREGATE(15, 6, (ROW($1:$345))/(ISNUMBER(SEARCH('[1]Dettaglio pacchetti'!$AB$1:$AB$530, $C56))), 1)) &amp; "*", '[1]Dettaglio pacchetti'!$A$1:$N$530, 1, FALSE) &amp; "", ""), "")</f>
        <v/>
      </c>
      <c r="AC56" t="str" cm="1">
        <f t="array" ref="AC56">IFERROR(
    VLOOKUP(
        INDEX('[1]Dettaglio pacchetti'!$AB$1:$AB$530, _xlfn.AGGREGATE(15,6,ROW($1:$345)/(ISNUMBER(SEARCH('[1]Dettaglio pacchetti'!$AB$1:$AB$530,$C56))),1)) &amp; "*",
        '[1]Dettaglio pacchetti'!$A$1:$I$530,
        7,
        FALSE
    ),
    IFERROR(VLOOKUP($C56, '[1]Dettaglio pacchetti'!$A$1:$I$530, 7, FALSE), "")
)</f>
        <v/>
      </c>
      <c r="AD56" t="str" cm="1">
        <f t="array" ref="AD56">IFERROR(
    VLOOKUP(
        INDEX('[1]Dettaglio pacchetti'!$AB$1:$AB$530, _xlfn.AGGREGATE(15,6,ROW($1:$345)/(ISNUMBER(SEARCH('[1]Dettaglio pacchetti'!$AB$1:$AB$530,$C56))),1)) &amp; "*",
        '[1]Dettaglio pacchetti'!$A$1:$I$530,
        6,
        FALSE
    ),
    IFERROR(VLOOKUP($C56, '[1]Dettaglio pacchetti'!$A$1:$I$530, 6, FALSE), "")
)</f>
        <v/>
      </c>
      <c r="AE56" s="4"/>
    </row>
    <row r="57" spans="2:31" hidden="1" x14ac:dyDescent="0.3">
      <c r="B57" s="17"/>
      <c r="C57" s="14"/>
      <c r="D57" s="20" t="str" cm="1">
        <f t="array" ref="D57">IFERROR(
    _xlfn.LET(
        _xlpm.risultato,
        IFERROR(
            _xlfn.XLOOKUP(TRIM(UPPER(G57)),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pacchetti'!$E$1:$E$530))=TRIM(UPPER(G57)),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57" s="14" t="str" cm="1">
        <f t="array" ref="E57">IF(TRIM($B57)="SG-ANAGRAFE", "Bugni Batte",
    IF(TRIM($B57)="DW01A", "Cauda",
        IFERROR(
            VLOOKUP(
                INDEX('[1]Dettaglio pacchetti'!$AB$1:$AB$530,
                    _xlfn.AGGREGATE(15, 6,
                        (ROW($1:$345))/(ISNUMBER(SEARCH('[1]Dettaglio pacchetti'!$AB$1:$AB$530, $C57))),
                        1)
                ) &amp; "*",
                '[1]Dettaglio pacchetti'!$A$1:$I$530,
                3,
                FALSE
            ),
            IFERROR(VLOOKUP($C57, '[1]Dettaglio pacchetti'!$A$1:$I$530, 3, FALSE), "")
        )
    )
)</f>
        <v/>
      </c>
      <c r="F57" s="14" t="str" cm="1">
        <f t="array" ref="F57">IF(TRIM($B57)="DW01A", "ETL - EDW Estrattori",
    IFERROR(
        VLOOKUP(
            INDEX('[1]Dettaglio pacchetti'!$AB$1:$AB$530,
                _xlfn.AGGREGATE(15, 6,
                    (ROW($1:$345))/(ISNUMBER(SEARCH('[1]Dettaglio pacchetti'!$AB$1:$AB$530, $C57))),
                    1)
            ) &amp; "*",
            '[1]Dettaglio pacchetti'!$A$1:$I$530,
            4,
            FALSE
        ),
        IFERROR(VLOOKUP($C57, '[1]Dettaglio pacchetti'!$A$1:$I$530, 4, FALSE), "")
    )
)</f>
        <v/>
      </c>
      <c r="G57" s="14" t="str" cm="1">
        <f t="array" ref="G57">IF(TRIM($B57)="DW01A", "ETL - EDW Estrattori",
    IF(TRIM($B57)="SG-ANAGRAFE", "SIGEA Anagrafe",
        IFERROR(
            VLOOKUP(
                INDEX('[1]Dettaglio pacchetti'!$AB$1:$AB$530,
                    _xlfn.AGGREGATE(15, 6,
                        (ROW($1:$345))/(ISNUMBER(SEARCH('[1]Dettaglio pacchetti'!$AB$1:$AB$530, $C57))),
                        1)
                ) &amp; "*",
                '[1]Dettaglio pacchetti'!$A$1:$I$530,
                5,
                FALSE
            ),
            IFERROR(VLOOKUP($C57, '[1]Dettaglio pacchetti'!$A$1:$I$530, 5, FALSE), "")
        )
    )
)</f>
        <v/>
      </c>
      <c r="H57" s="14" t="str" cm="1">
        <f t="array" ref="H57">IFERROR(
    VLOOKUP(
        INDEX('[1]Dettaglio pacchetti'!$AB$1:$AB$530,
            _xlfn.AGGREGATE(15, 6,
                (ROW($1:$345))/(ISNUMBER(SEARCH('[1]Dettaglio pacchetti'!$AB$1:$AB$530, $C57))),
                1)
        ) &amp; "*",
        '[1]Dettaglio pacchetti'!$A$1:$I$530,
        6,
        FALSE
    ),
    IFERROR(VLOOKUP($C57, '[1]Dettaglio pacchetti'!$A$1:$I$530, 6, FALSE), "")
)</f>
        <v/>
      </c>
      <c r="I57" s="7" t="str">
        <f t="shared" si="3"/>
        <v/>
      </c>
      <c r="J57" t="str">
        <f t="shared" si="4"/>
        <v/>
      </c>
      <c r="K57" t="str">
        <f t="shared" si="5"/>
        <v/>
      </c>
      <c r="L57" s="14" t="str" cm="1">
        <f t="array" ref="L57">IFERROR(
    VLOOKUP(
        INDEX('[1]Dettaglio pacchetti'!$AB$1:$AB$530,
            _xlfn.AGGREGATE(15, 6,
                ROW($1:$345)/(ISNUMBER(SEARCH('[1]Dettaglio pacchetti'!$AB$1:$AB$530, $C57))),
                1)
        ) &amp; "*",
        '[1]Dettaglio pacchetti'!$A$1:$I$530,
        8,
        FALSE
    ),
    IFERROR(VLOOKUP($C57, '[1]Dettaglio pacchetti'!$A$1:$I$530, 8, FALSE), "")
)</f>
        <v/>
      </c>
      <c r="M57" s="14" t="str" cm="1">
        <f t="array" ref="M57">IFERROR(
    VLOOKUP(
        INDEX('[1]Dettaglio pacchetti'!$AB$1:$AB$530,
            _xlfn.AGGREGATE(15, 6,
                ROW($1:$345)/(ISNUMBER(SEARCH('[1]Dettaglio pacchetti'!$AB$1:$AB$530, $C57))),
                1)
        ) &amp; "*",
        '[1]Dettaglio pacchetti'!$A$1:$I$530,
        9,
        FALSE
    ),
    IFERROR(VLOOKUP($C57, '[1]Dettaglio pacchetti'!$A$1:$I$530, 9, FALSE), "")
)</f>
        <v/>
      </c>
      <c r="N57" s="7"/>
      <c r="P57" s="6"/>
      <c r="AA57" t="str" cm="1">
        <f t="array" ref="AA57">IFERROR(VLOOKUP(INDEX('[1]Dettaglio pacchetti'!$AB$1:$AB$530, _xlfn.AGGREGATE(15, 6, (ROW($1:$345))/(ISNUMBER(SEARCH('[1]Dettaglio pacchetti'!$AB$1:$AB$530, $C57))), 1)) &amp; "*", '[1]Dettaglio pacchetti'!$A$1:$N$530, 13, FALSE) &amp; "", "")</f>
        <v/>
      </c>
      <c r="AB57" t="str" cm="1">
        <f t="array" ref="AB57">IF(ISNUMBER(SEARCH("dev.azure.com", AA57)), IFERROR(VLOOKUP(INDEX('[1]Dettaglio pacchetti'!$AB$1:$AB$530, _xlfn.AGGREGATE(15, 6, (ROW($1:$345))/(ISNUMBER(SEARCH('[1]Dettaglio pacchetti'!$AB$1:$AB$530, $C57))), 1)) &amp; "*", '[1]Dettaglio pacchetti'!$A$1:$N$530, 1, FALSE) &amp; "", ""), "")</f>
        <v/>
      </c>
      <c r="AC57" t="str" cm="1">
        <f t="array" ref="AC57">IFERROR(
    VLOOKUP(
        INDEX('[1]Dettaglio pacchetti'!$AB$1:$AB$530, _xlfn.AGGREGATE(15,6,ROW($1:$345)/(ISNUMBER(SEARCH('[1]Dettaglio pacchetti'!$AB$1:$AB$530,$C57))),1)) &amp; "*",
        '[1]Dettaglio pacchetti'!$A$1:$I$530,
        7,
        FALSE
    ),
    IFERROR(VLOOKUP($C57, '[1]Dettaglio pacchetti'!$A$1:$I$530, 7, FALSE), "")
)</f>
        <v/>
      </c>
      <c r="AD57" t="str" cm="1">
        <f t="array" ref="AD57">IFERROR(
    VLOOKUP(
        INDEX('[1]Dettaglio pacchetti'!$AB$1:$AB$530, _xlfn.AGGREGATE(15,6,ROW($1:$345)/(ISNUMBER(SEARCH('[1]Dettaglio pacchetti'!$AB$1:$AB$530,$C57))),1)) &amp; "*",
        '[1]Dettaglio pacchetti'!$A$1:$I$530,
        6,
        FALSE
    ),
    IFERROR(VLOOKUP($C57, '[1]Dettaglio pacchetti'!$A$1:$I$530, 6, FALSE), "")
)</f>
        <v/>
      </c>
      <c r="AE57" s="4"/>
    </row>
    <row r="58" spans="2:31" hidden="1" x14ac:dyDescent="0.3">
      <c r="B58" s="17"/>
      <c r="C58" s="14"/>
      <c r="D58" s="20" t="str" cm="1">
        <f t="array" ref="D58">IFERROR(
    _xlfn.LET(
        _xlpm.risultato,
        IFERROR(
            _xlfn.XLOOKUP(TRIM(UPPER(G58)),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pacchetti'!$E$1:$E$530))=TRIM(UPPER(G58)),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58" s="14" t="str" cm="1">
        <f t="array" ref="E58">IF(TRIM($B58)="SG-ANAGRAFE", "Bugni Batte",
    IF(TRIM($B58)="DW01A", "Cauda",
        IFERROR(
            VLOOKUP(
                INDEX('[1]Dettaglio pacchetti'!$AB$1:$AB$530,
                    _xlfn.AGGREGATE(15, 6,
                        (ROW($1:$345))/(ISNUMBER(SEARCH('[1]Dettaglio pacchetti'!$AB$1:$AB$530, $C58))),
                        1)
                ) &amp; "*",
                '[1]Dettaglio pacchetti'!$A$1:$I$530,
                3,
                FALSE
            ),
            IFERROR(VLOOKUP($C58, '[1]Dettaglio pacchetti'!$A$1:$I$530, 3, FALSE), "")
        )
    )
)</f>
        <v/>
      </c>
      <c r="F58" s="14" t="str" cm="1">
        <f t="array" ref="F58">IF(TRIM($B58)="DW01A", "ETL - EDW Estrattori",
    IFERROR(
        VLOOKUP(
            INDEX('[1]Dettaglio pacchetti'!$AB$1:$AB$530,
                _xlfn.AGGREGATE(15, 6,
                    (ROW($1:$345))/(ISNUMBER(SEARCH('[1]Dettaglio pacchetti'!$AB$1:$AB$530, $C58))),
                    1)
            ) &amp; "*",
            '[1]Dettaglio pacchetti'!$A$1:$I$530,
            4,
            FALSE
        ),
        IFERROR(VLOOKUP($C58, '[1]Dettaglio pacchetti'!$A$1:$I$530, 4, FALSE), "")
    )
)</f>
        <v/>
      </c>
      <c r="G58" s="14" t="str" cm="1">
        <f t="array" ref="G58">IF(TRIM($B58)="DW01A", "ETL - EDW Estrattori",
    IF(TRIM($B58)="SG-ANAGRAFE", "SIGEA Anagrafe",
        IFERROR(
            VLOOKUP(
                INDEX('[1]Dettaglio pacchetti'!$AB$1:$AB$530,
                    _xlfn.AGGREGATE(15, 6,
                        (ROW($1:$345))/(ISNUMBER(SEARCH('[1]Dettaglio pacchetti'!$AB$1:$AB$530, $C58))),
                        1)
                ) &amp; "*",
                '[1]Dettaglio pacchetti'!$A$1:$I$530,
                5,
                FALSE
            ),
            IFERROR(VLOOKUP($C58, '[1]Dettaglio pacchetti'!$A$1:$I$530, 5, FALSE), "")
        )
    )
)</f>
        <v/>
      </c>
      <c r="H58" s="14" t="str" cm="1">
        <f t="array" ref="H58">IFERROR(
    VLOOKUP(
        INDEX('[1]Dettaglio pacchetti'!$AB$1:$AB$530,
            _xlfn.AGGREGATE(15, 6,
                (ROW($1:$345))/(ISNUMBER(SEARCH('[1]Dettaglio pacchetti'!$AB$1:$AB$530, $C58))),
                1)
        ) &amp; "*",
        '[1]Dettaglio pacchetti'!$A$1:$I$530,
        6,
        FALSE
    ),
    IFERROR(VLOOKUP($C58, '[1]Dettaglio pacchetti'!$A$1:$I$530, 6, FALSE), "")
)</f>
        <v/>
      </c>
      <c r="I58" s="7" t="str">
        <f t="shared" ref="I58:I121" si="6">IF(OR(AA58="", AB58=""), "", HYPERLINK(AA58, AB58))</f>
        <v/>
      </c>
      <c r="J58" t="str">
        <f t="shared" si="4"/>
        <v/>
      </c>
      <c r="K58" t="str">
        <f t="shared" si="5"/>
        <v/>
      </c>
      <c r="L58" s="14" t="str" cm="1">
        <f t="array" ref="L58">IFERROR(
    VLOOKUP(
        INDEX('[1]Dettaglio pacchetti'!$AB$1:$AB$530,
            _xlfn.AGGREGATE(15, 6,
                ROW($1:$345)/(ISNUMBER(SEARCH('[1]Dettaglio pacchetti'!$AB$1:$AB$530, $C58))),
                1)
        ) &amp; "*",
        '[1]Dettaglio pacchetti'!$A$1:$I$530,
        8,
        FALSE
    ),
    IFERROR(VLOOKUP($C58, '[1]Dettaglio pacchetti'!$A$1:$I$530, 8, FALSE), "")
)</f>
        <v/>
      </c>
      <c r="M58" s="14" t="str" cm="1">
        <f t="array" ref="M58">IFERROR(
    VLOOKUP(
        INDEX('[1]Dettaglio pacchetti'!$AB$1:$AB$530,
            _xlfn.AGGREGATE(15, 6,
                ROW($1:$345)/(ISNUMBER(SEARCH('[1]Dettaglio pacchetti'!$AB$1:$AB$530, $C58))),
                1)
        ) &amp; "*",
        '[1]Dettaglio pacchetti'!$A$1:$I$530,
        9,
        FALSE
    ),
    IFERROR(VLOOKUP($C58, '[1]Dettaglio pacchetti'!$A$1:$I$530, 9, FALSE), "")
)</f>
        <v/>
      </c>
      <c r="N58" s="7"/>
      <c r="P58" s="6"/>
      <c r="AA58" t="str" cm="1">
        <f t="array" ref="AA58">IFERROR(VLOOKUP(INDEX('[1]Dettaglio pacchetti'!$AB$1:$AB$530, _xlfn.AGGREGATE(15, 6, (ROW($1:$345))/(ISNUMBER(SEARCH('[1]Dettaglio pacchetti'!$AB$1:$AB$530, $C58))), 1)) &amp; "*", '[1]Dettaglio pacchetti'!$A$1:$N$530, 13, FALSE) &amp; "", "")</f>
        <v/>
      </c>
      <c r="AB58" t="str" cm="1">
        <f t="array" ref="AB58">IF(ISNUMBER(SEARCH("dev.azure.com", AA58)), IFERROR(VLOOKUP(INDEX('[1]Dettaglio pacchetti'!$AB$1:$AB$530, _xlfn.AGGREGATE(15, 6, (ROW($1:$345))/(ISNUMBER(SEARCH('[1]Dettaglio pacchetti'!$AB$1:$AB$530, $C58))), 1)) &amp; "*", '[1]Dettaglio pacchetti'!$A$1:$N$530, 1, FALSE) &amp; "", ""), "")</f>
        <v/>
      </c>
      <c r="AC58" t="str" cm="1">
        <f t="array" ref="AC58">IFERROR(
    VLOOKUP(
        INDEX('[1]Dettaglio pacchetti'!$AB$1:$AB$530, _xlfn.AGGREGATE(15,6,ROW($1:$345)/(ISNUMBER(SEARCH('[1]Dettaglio pacchetti'!$AB$1:$AB$530,$C58))),1)) &amp; "*",
        '[1]Dettaglio pacchetti'!$A$1:$I$530,
        7,
        FALSE
    ),
    IFERROR(VLOOKUP($C58, '[1]Dettaglio pacchetti'!$A$1:$I$530, 7, FALSE), "")
)</f>
        <v/>
      </c>
      <c r="AD58" t="str" cm="1">
        <f t="array" ref="AD58">IFERROR(
    VLOOKUP(
        INDEX('[1]Dettaglio pacchetti'!$AB$1:$AB$530, _xlfn.AGGREGATE(15,6,ROW($1:$345)/(ISNUMBER(SEARCH('[1]Dettaglio pacchetti'!$AB$1:$AB$530,$C58))),1)) &amp; "*",
        '[1]Dettaglio pacchetti'!$A$1:$I$530,
        6,
        FALSE
    ),
    IFERROR(VLOOKUP($C58, '[1]Dettaglio pacchetti'!$A$1:$I$530, 6, FALSE), "")
)</f>
        <v/>
      </c>
      <c r="AE58" s="4"/>
    </row>
    <row r="59" spans="2:31" hidden="1" x14ac:dyDescent="0.3">
      <c r="B59" s="17"/>
      <c r="C59" s="14"/>
      <c r="D59" s="20" t="str" cm="1">
        <f t="array" ref="D59">IFERROR(
    _xlfn.LET(
        _xlpm.risultato,
        IFERROR(
            _xlfn.XLOOKUP(TRIM(UPPER(G59)),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pacchetti'!$E$1:$E$530))=TRIM(UPPER(G59)),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59" s="14" t="str" cm="1">
        <f t="array" ref="E59">IF(TRIM($B59)="SG-ANAGRAFE", "Bugni Batte",
    IF(TRIM($B59)="DW01A", "Cauda",
        IFERROR(
            VLOOKUP(
                INDEX('[1]Dettaglio pacchetti'!$AB$1:$AB$530,
                    _xlfn.AGGREGATE(15, 6,
                        (ROW($1:$345))/(ISNUMBER(SEARCH('[1]Dettaglio pacchetti'!$AB$1:$AB$530, $C59))),
                        1)
                ) &amp; "*",
                '[1]Dettaglio pacchetti'!$A$1:$I$530,
                3,
                FALSE
            ),
            IFERROR(VLOOKUP($C59, '[1]Dettaglio pacchetti'!$A$1:$I$530, 3, FALSE), "")
        )
    )
)</f>
        <v/>
      </c>
      <c r="F59" s="14" t="str" cm="1">
        <f t="array" ref="F59">IF(TRIM($B59)="DW01A", "ETL - EDW Estrattori",
    IFERROR(
        VLOOKUP(
            INDEX('[1]Dettaglio pacchetti'!$AB$1:$AB$530,
                _xlfn.AGGREGATE(15, 6,
                    (ROW($1:$345))/(ISNUMBER(SEARCH('[1]Dettaglio pacchetti'!$AB$1:$AB$530, $C59))),
                    1)
            ) &amp; "*",
            '[1]Dettaglio pacchetti'!$A$1:$I$530,
            4,
            FALSE
        ),
        IFERROR(VLOOKUP($C59, '[1]Dettaglio pacchetti'!$A$1:$I$530, 4, FALSE), "")
    )
)</f>
        <v/>
      </c>
      <c r="G59" s="14" t="str" cm="1">
        <f t="array" ref="G59">IF(TRIM($B59)="DW01A", "ETL - EDW Estrattori",
    IF(TRIM($B59)="SG-ANAGRAFE", "SIGEA Anagrafe",
        IFERROR(
            VLOOKUP(
                INDEX('[1]Dettaglio pacchetti'!$AB$1:$AB$530,
                    _xlfn.AGGREGATE(15, 6,
                        (ROW($1:$345))/(ISNUMBER(SEARCH('[1]Dettaglio pacchetti'!$AB$1:$AB$530, $C59))),
                        1)
                ) &amp; "*",
                '[1]Dettaglio pacchetti'!$A$1:$I$530,
                5,
                FALSE
            ),
            IFERROR(VLOOKUP($C59, '[1]Dettaglio pacchetti'!$A$1:$I$530, 5, FALSE), "")
        )
    )
)</f>
        <v/>
      </c>
      <c r="H59" s="14" t="str" cm="1">
        <f t="array" ref="H59">IFERROR(
    VLOOKUP(
        INDEX('[1]Dettaglio pacchetti'!$AB$1:$AB$530,
            _xlfn.AGGREGATE(15, 6,
                (ROW($1:$345))/(ISNUMBER(SEARCH('[1]Dettaglio pacchetti'!$AB$1:$AB$530, $C59))),
                1)
        ) &amp; "*",
        '[1]Dettaglio pacchetti'!$A$1:$I$530,
        6,
        FALSE
    ),
    IFERROR(VLOOKUP($C59, '[1]Dettaglio pacchetti'!$A$1:$I$530, 6, FALSE), "")
)</f>
        <v/>
      </c>
      <c r="I59" s="7" t="str">
        <f t="shared" si="6"/>
        <v/>
      </c>
      <c r="J59" t="str">
        <f t="shared" si="4"/>
        <v/>
      </c>
      <c r="K59" t="str">
        <f t="shared" si="5"/>
        <v/>
      </c>
      <c r="L59" s="14" t="str" cm="1">
        <f t="array" ref="L59">IFERROR(
    VLOOKUP(
        INDEX('[1]Dettaglio pacchetti'!$AB$1:$AB$530,
            _xlfn.AGGREGATE(15, 6,
                ROW($1:$345)/(ISNUMBER(SEARCH('[1]Dettaglio pacchetti'!$AB$1:$AB$530, $C59))),
                1)
        ) &amp; "*",
        '[1]Dettaglio pacchetti'!$A$1:$I$530,
        8,
        FALSE
    ),
    IFERROR(VLOOKUP($C59, '[1]Dettaglio pacchetti'!$A$1:$I$530, 8, FALSE), "")
)</f>
        <v/>
      </c>
      <c r="M59" s="14" t="str" cm="1">
        <f t="array" ref="M59">IFERROR(
    VLOOKUP(
        INDEX('[1]Dettaglio pacchetti'!$AB$1:$AB$530,
            _xlfn.AGGREGATE(15, 6,
                ROW($1:$345)/(ISNUMBER(SEARCH('[1]Dettaglio pacchetti'!$AB$1:$AB$530, $C59))),
                1)
        ) &amp; "*",
        '[1]Dettaglio pacchetti'!$A$1:$I$530,
        9,
        FALSE
    ),
    IFERROR(VLOOKUP($C59, '[1]Dettaglio pacchetti'!$A$1:$I$530, 9, FALSE), "")
)</f>
        <v/>
      </c>
      <c r="N59" s="7"/>
      <c r="P59" s="6"/>
      <c r="AA59" t="str" cm="1">
        <f t="array" ref="AA59">IFERROR(VLOOKUP(INDEX('[1]Dettaglio pacchetti'!$AB$1:$AB$530, _xlfn.AGGREGATE(15, 6, (ROW($1:$345))/(ISNUMBER(SEARCH('[1]Dettaglio pacchetti'!$AB$1:$AB$530, $C59))), 1)) &amp; "*", '[1]Dettaglio pacchetti'!$A$1:$N$530, 13, FALSE) &amp; "", "")</f>
        <v/>
      </c>
      <c r="AB59" t="str" cm="1">
        <f t="array" ref="AB59">IF(ISNUMBER(SEARCH("dev.azure.com", AA59)), IFERROR(VLOOKUP(INDEX('[1]Dettaglio pacchetti'!$AB$1:$AB$530, _xlfn.AGGREGATE(15, 6, (ROW($1:$345))/(ISNUMBER(SEARCH('[1]Dettaglio pacchetti'!$AB$1:$AB$530, $C59))), 1)) &amp; "*", '[1]Dettaglio pacchetti'!$A$1:$N$530, 1, FALSE) &amp; "", ""), "")</f>
        <v/>
      </c>
      <c r="AC59" t="str" cm="1">
        <f t="array" ref="AC59">IFERROR(
    VLOOKUP(
        INDEX('[1]Dettaglio pacchetti'!$AB$1:$AB$530, _xlfn.AGGREGATE(15,6,ROW($1:$345)/(ISNUMBER(SEARCH('[1]Dettaglio pacchetti'!$AB$1:$AB$530,$C59))),1)) &amp; "*",
        '[1]Dettaglio pacchetti'!$A$1:$I$530,
        7,
        FALSE
    ),
    IFERROR(VLOOKUP($C59, '[1]Dettaglio pacchetti'!$A$1:$I$530, 7, FALSE), "")
)</f>
        <v/>
      </c>
      <c r="AD59" t="str" cm="1">
        <f t="array" ref="AD59">IFERROR(
    VLOOKUP(
        INDEX('[1]Dettaglio pacchetti'!$AB$1:$AB$530, _xlfn.AGGREGATE(15,6,ROW($1:$345)/(ISNUMBER(SEARCH('[1]Dettaglio pacchetti'!$AB$1:$AB$530,$C59))),1)) &amp; "*",
        '[1]Dettaglio pacchetti'!$A$1:$I$530,
        6,
        FALSE
    ),
    IFERROR(VLOOKUP($C59, '[1]Dettaglio pacchetti'!$A$1:$I$530, 6, FALSE), "")
)</f>
        <v/>
      </c>
      <c r="AE59" s="4"/>
    </row>
    <row r="60" spans="2:31" hidden="1" x14ac:dyDescent="0.3">
      <c r="B60" s="17"/>
      <c r="C60" s="14"/>
      <c r="D60" s="20" t="str" cm="1">
        <f t="array" ref="D60">IFERROR(
    _xlfn.LET(
        _xlpm.risultato,
        IFERROR(
            _xlfn.XLOOKUP(TRIM(UPPER(G60)),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pacchetti'!$E$1:$E$530))=TRIM(UPPER(G60)),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60" s="14" t="str" cm="1">
        <f t="array" ref="E60">IF(TRIM($B60)="SG-ANAGRAFE", "Bugni Batte",
    IF(TRIM($B60)="DW01A", "Cauda",
        IFERROR(
            VLOOKUP(
                INDEX('[1]Dettaglio pacchetti'!$AB$1:$AB$530,
                    _xlfn.AGGREGATE(15, 6,
                        (ROW($1:$345))/(ISNUMBER(SEARCH('[1]Dettaglio pacchetti'!$AB$1:$AB$530, $C60))),
                        1)
                ) &amp; "*",
                '[1]Dettaglio pacchetti'!$A$1:$I$530,
                3,
                FALSE
            ),
            IFERROR(VLOOKUP($C60, '[1]Dettaglio pacchetti'!$A$1:$I$530, 3, FALSE), "")
        )
    )
)</f>
        <v/>
      </c>
      <c r="F60" s="14" t="str" cm="1">
        <f t="array" ref="F60">IF(TRIM($B60)="DW01A", "ETL - EDW Estrattori",
    IFERROR(
        VLOOKUP(
            INDEX('[1]Dettaglio pacchetti'!$AB$1:$AB$530,
                _xlfn.AGGREGATE(15, 6,
                    (ROW($1:$345))/(ISNUMBER(SEARCH('[1]Dettaglio pacchetti'!$AB$1:$AB$530, $C60))),
                    1)
            ) &amp; "*",
            '[1]Dettaglio pacchetti'!$A$1:$I$530,
            4,
            FALSE
        ),
        IFERROR(VLOOKUP($C60, '[1]Dettaglio pacchetti'!$A$1:$I$530, 4, FALSE), "")
    )
)</f>
        <v/>
      </c>
      <c r="G60" s="14" t="str" cm="1">
        <f t="array" ref="G60">IF(TRIM($B60)="DW01A", "ETL - EDW Estrattori",
    IF(TRIM($B60)="SG-ANAGRAFE", "SIGEA Anagrafe",
        IFERROR(
            VLOOKUP(
                INDEX('[1]Dettaglio pacchetti'!$AB$1:$AB$530,
                    _xlfn.AGGREGATE(15, 6,
                        (ROW($1:$345))/(ISNUMBER(SEARCH('[1]Dettaglio pacchetti'!$AB$1:$AB$530, $C60))),
                        1)
                ) &amp; "*",
                '[1]Dettaglio pacchetti'!$A$1:$I$530,
                5,
                FALSE
            ),
            IFERROR(VLOOKUP($C60, '[1]Dettaglio pacchetti'!$A$1:$I$530, 5, FALSE), "")
        )
    )
)</f>
        <v/>
      </c>
      <c r="H60" s="14" t="str" cm="1">
        <f t="array" ref="H60">IFERROR(
    VLOOKUP(
        INDEX('[1]Dettaglio pacchetti'!$AB$1:$AB$530,
            _xlfn.AGGREGATE(15, 6,
                (ROW($1:$345))/(ISNUMBER(SEARCH('[1]Dettaglio pacchetti'!$AB$1:$AB$530, $C60))),
                1)
        ) &amp; "*",
        '[1]Dettaglio pacchetti'!$A$1:$I$530,
        6,
        FALSE
    ),
    IFERROR(VLOOKUP($C60, '[1]Dettaglio pacchetti'!$A$1:$I$530, 6, FALSE), "")
)</f>
        <v/>
      </c>
      <c r="I60" s="7" t="str">
        <f t="shared" si="6"/>
        <v/>
      </c>
      <c r="J60" t="str">
        <f t="shared" si="4"/>
        <v/>
      </c>
      <c r="K60" t="str">
        <f t="shared" si="5"/>
        <v/>
      </c>
      <c r="L60" s="14" t="str" cm="1">
        <f t="array" ref="L60">IFERROR(
    VLOOKUP(
        INDEX('[1]Dettaglio pacchetti'!$AB$1:$AB$530,
            _xlfn.AGGREGATE(15, 6,
                ROW($1:$345)/(ISNUMBER(SEARCH('[1]Dettaglio pacchetti'!$AB$1:$AB$530, $C60))),
                1)
        ) &amp; "*",
        '[1]Dettaglio pacchetti'!$A$1:$I$530,
        8,
        FALSE
    ),
    IFERROR(VLOOKUP($C60, '[1]Dettaglio pacchetti'!$A$1:$I$530, 8, FALSE), "")
)</f>
        <v/>
      </c>
      <c r="M60" s="14" t="str" cm="1">
        <f t="array" ref="M60">IFERROR(
    VLOOKUP(
        INDEX('[1]Dettaglio pacchetti'!$AB$1:$AB$530,
            _xlfn.AGGREGATE(15, 6,
                ROW($1:$345)/(ISNUMBER(SEARCH('[1]Dettaglio pacchetti'!$AB$1:$AB$530, $C60))),
                1)
        ) &amp; "*",
        '[1]Dettaglio pacchetti'!$A$1:$I$530,
        9,
        FALSE
    ),
    IFERROR(VLOOKUP($C60, '[1]Dettaglio pacchetti'!$A$1:$I$530, 9, FALSE), "")
)</f>
        <v/>
      </c>
      <c r="N60" s="7"/>
      <c r="P60" s="6"/>
      <c r="AA60" t="str" cm="1">
        <f t="array" ref="AA60">IFERROR(VLOOKUP(INDEX('[1]Dettaglio pacchetti'!$AB$1:$AB$530, _xlfn.AGGREGATE(15, 6, (ROW($1:$345))/(ISNUMBER(SEARCH('[1]Dettaglio pacchetti'!$AB$1:$AB$530, $C60))), 1)) &amp; "*", '[1]Dettaglio pacchetti'!$A$1:$N$530, 13, FALSE) &amp; "", "")</f>
        <v/>
      </c>
      <c r="AB60" t="str" cm="1">
        <f t="array" ref="AB60">IF(ISNUMBER(SEARCH("dev.azure.com", AA60)), IFERROR(VLOOKUP(INDEX('[1]Dettaglio pacchetti'!$AB$1:$AB$530, _xlfn.AGGREGATE(15, 6, (ROW($1:$345))/(ISNUMBER(SEARCH('[1]Dettaglio pacchetti'!$AB$1:$AB$530, $C60))), 1)) &amp; "*", '[1]Dettaglio pacchetti'!$A$1:$N$530, 1, FALSE) &amp; "", ""), "")</f>
        <v/>
      </c>
      <c r="AC60" t="str" cm="1">
        <f t="array" ref="AC60">IFERROR(
    VLOOKUP(
        INDEX('[1]Dettaglio pacchetti'!$AB$1:$AB$530, _xlfn.AGGREGATE(15,6,ROW($1:$345)/(ISNUMBER(SEARCH('[1]Dettaglio pacchetti'!$AB$1:$AB$530,$C60))),1)) &amp; "*",
        '[1]Dettaglio pacchetti'!$A$1:$I$530,
        7,
        FALSE
    ),
    IFERROR(VLOOKUP($C60, '[1]Dettaglio pacchetti'!$A$1:$I$530, 7, FALSE), "")
)</f>
        <v/>
      </c>
      <c r="AD60" t="str" cm="1">
        <f t="array" ref="AD60">IFERROR(
    VLOOKUP(
        INDEX('[1]Dettaglio pacchetti'!$AB$1:$AB$530, _xlfn.AGGREGATE(15,6,ROW($1:$345)/(ISNUMBER(SEARCH('[1]Dettaglio pacchetti'!$AB$1:$AB$530,$C60))),1)) &amp; "*",
        '[1]Dettaglio pacchetti'!$A$1:$I$530,
        6,
        FALSE
    ),
    IFERROR(VLOOKUP($C60, '[1]Dettaglio pacchetti'!$A$1:$I$530, 6, FALSE), "")
)</f>
        <v/>
      </c>
      <c r="AE60" s="4"/>
    </row>
    <row r="61" spans="2:31" hidden="1" x14ac:dyDescent="0.3">
      <c r="B61" s="17"/>
      <c r="C61" s="14"/>
      <c r="D61" s="20" t="str" cm="1">
        <f t="array" ref="D61">IFERROR(
    _xlfn.LET(
        _xlpm.risultato,
        IFERROR(
            _xlfn.XLOOKUP(TRIM(UPPER(G61)),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pacchetti'!$E$1:$E$530))=TRIM(UPPER(G61)),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61" s="14" t="str" cm="1">
        <f t="array" ref="E61">IF(TRIM($B61)="SG-ANAGRAFE", "Bugni Batte",
    IF(TRIM($B61)="DW01A", "Cauda",
        IFERROR(
            VLOOKUP(
                INDEX('[1]Dettaglio pacchetti'!$AB$1:$AB$530,
                    _xlfn.AGGREGATE(15, 6,
                        (ROW($1:$345))/(ISNUMBER(SEARCH('[1]Dettaglio pacchetti'!$AB$1:$AB$530, $C61))),
                        1)
                ) &amp; "*",
                '[1]Dettaglio pacchetti'!$A$1:$I$530,
                3,
                FALSE
            ),
            IFERROR(VLOOKUP($C61, '[1]Dettaglio pacchetti'!$A$1:$I$530, 3, FALSE), "")
        )
    )
)</f>
        <v/>
      </c>
      <c r="F61" s="14" t="str" cm="1">
        <f t="array" ref="F61">IF(TRIM($B61)="DW01A", "ETL - EDW Estrattori",
    IFERROR(
        VLOOKUP(
            INDEX('[1]Dettaglio pacchetti'!$AB$1:$AB$530,
                _xlfn.AGGREGATE(15, 6,
                    (ROW($1:$345))/(ISNUMBER(SEARCH('[1]Dettaglio pacchetti'!$AB$1:$AB$530, $C61))),
                    1)
            ) &amp; "*",
            '[1]Dettaglio pacchetti'!$A$1:$I$530,
            4,
            FALSE
        ),
        IFERROR(VLOOKUP($C61, '[1]Dettaglio pacchetti'!$A$1:$I$530, 4, FALSE), "")
    )
)</f>
        <v/>
      </c>
      <c r="G61" s="14" t="str" cm="1">
        <f t="array" ref="G61">IF(TRIM($B61)="DW01A", "ETL - EDW Estrattori",
    IF(TRIM($B61)="SG-ANAGRAFE", "SIGEA Anagrafe",
        IFERROR(
            VLOOKUP(
                INDEX('[1]Dettaglio pacchetti'!$AB$1:$AB$530,
                    _xlfn.AGGREGATE(15, 6,
                        (ROW($1:$345))/(ISNUMBER(SEARCH('[1]Dettaglio pacchetti'!$AB$1:$AB$530, $C61))),
                        1)
                ) &amp; "*",
                '[1]Dettaglio pacchetti'!$A$1:$I$530,
                5,
                FALSE
            ),
            IFERROR(VLOOKUP($C61, '[1]Dettaglio pacchetti'!$A$1:$I$530, 5, FALSE), "")
        )
    )
)</f>
        <v/>
      </c>
      <c r="H61" s="14" t="str" cm="1">
        <f t="array" ref="H61">IFERROR(
    VLOOKUP(
        INDEX('[1]Dettaglio pacchetti'!$AB$1:$AB$530,
            _xlfn.AGGREGATE(15, 6,
                (ROW($1:$345))/(ISNUMBER(SEARCH('[1]Dettaglio pacchetti'!$AB$1:$AB$530, $C61))),
                1)
        ) &amp; "*",
        '[1]Dettaglio pacchetti'!$A$1:$I$530,
        6,
        FALSE
    ),
    IFERROR(VLOOKUP($C61, '[1]Dettaglio pacchetti'!$A$1:$I$530, 6, FALSE), "")
)</f>
        <v/>
      </c>
      <c r="I61" s="7" t="str">
        <f t="shared" si="6"/>
        <v/>
      </c>
      <c r="J61" t="str">
        <f t="shared" si="4"/>
        <v/>
      </c>
      <c r="K61" t="str">
        <f t="shared" si="5"/>
        <v/>
      </c>
      <c r="L61" s="14" t="str" cm="1">
        <f t="array" ref="L61">IFERROR(
    VLOOKUP(
        INDEX('[1]Dettaglio pacchetti'!$AB$1:$AB$530,
            _xlfn.AGGREGATE(15, 6,
                ROW($1:$345)/(ISNUMBER(SEARCH('[1]Dettaglio pacchetti'!$AB$1:$AB$530, $C61))),
                1)
        ) &amp; "*",
        '[1]Dettaglio pacchetti'!$A$1:$I$530,
        8,
        FALSE
    ),
    IFERROR(VLOOKUP($C61, '[1]Dettaglio pacchetti'!$A$1:$I$530, 8, FALSE), "")
)</f>
        <v/>
      </c>
      <c r="M61" s="14" t="str" cm="1">
        <f t="array" ref="M61">IFERROR(
    VLOOKUP(
        INDEX('[1]Dettaglio pacchetti'!$AB$1:$AB$530,
            _xlfn.AGGREGATE(15, 6,
                ROW($1:$345)/(ISNUMBER(SEARCH('[1]Dettaglio pacchetti'!$AB$1:$AB$530, $C61))),
                1)
        ) &amp; "*",
        '[1]Dettaglio pacchetti'!$A$1:$I$530,
        9,
        FALSE
    ),
    IFERROR(VLOOKUP($C61, '[1]Dettaglio pacchetti'!$A$1:$I$530, 9, FALSE), "")
)</f>
        <v/>
      </c>
      <c r="N61" s="7"/>
      <c r="P61" s="6"/>
      <c r="AA61" t="str" cm="1">
        <f t="array" ref="AA61">IFERROR(VLOOKUP(INDEX('[1]Dettaglio pacchetti'!$AB$1:$AB$530, _xlfn.AGGREGATE(15, 6, (ROW($1:$345))/(ISNUMBER(SEARCH('[1]Dettaglio pacchetti'!$AB$1:$AB$530, $C61))), 1)) &amp; "*", '[1]Dettaglio pacchetti'!$A$1:$N$530, 13, FALSE) &amp; "", "")</f>
        <v/>
      </c>
      <c r="AB61" t="str" cm="1">
        <f t="array" ref="AB61">IF(ISNUMBER(SEARCH("dev.azure.com", AA61)), IFERROR(VLOOKUP(INDEX('[1]Dettaglio pacchetti'!$AB$1:$AB$530, _xlfn.AGGREGATE(15, 6, (ROW($1:$345))/(ISNUMBER(SEARCH('[1]Dettaglio pacchetti'!$AB$1:$AB$530, $C61))), 1)) &amp; "*", '[1]Dettaglio pacchetti'!$A$1:$N$530, 1, FALSE) &amp; "", ""), "")</f>
        <v/>
      </c>
      <c r="AC61" t="str" cm="1">
        <f t="array" ref="AC61">IFERROR(
    VLOOKUP(
        INDEX('[1]Dettaglio pacchetti'!$AB$1:$AB$530, _xlfn.AGGREGATE(15,6,ROW($1:$345)/(ISNUMBER(SEARCH('[1]Dettaglio pacchetti'!$AB$1:$AB$530,$C61))),1)) &amp; "*",
        '[1]Dettaglio pacchetti'!$A$1:$I$530,
        7,
        FALSE
    ),
    IFERROR(VLOOKUP($C61, '[1]Dettaglio pacchetti'!$A$1:$I$530, 7, FALSE), "")
)</f>
        <v/>
      </c>
      <c r="AD61" t="str" cm="1">
        <f t="array" ref="AD61">IFERROR(
    VLOOKUP(
        INDEX('[1]Dettaglio pacchetti'!$AB$1:$AB$530, _xlfn.AGGREGATE(15,6,ROW($1:$345)/(ISNUMBER(SEARCH('[1]Dettaglio pacchetti'!$AB$1:$AB$530,$C61))),1)) &amp; "*",
        '[1]Dettaglio pacchetti'!$A$1:$I$530,
        6,
        FALSE
    ),
    IFERROR(VLOOKUP($C61, '[1]Dettaglio pacchetti'!$A$1:$I$530, 6, FALSE), "")
)</f>
        <v/>
      </c>
      <c r="AE61" s="4"/>
    </row>
    <row r="62" spans="2:31" s="4" customFormat="1" hidden="1" x14ac:dyDescent="0.3">
      <c r="B62" s="24"/>
      <c r="C62" s="14"/>
      <c r="D62" s="20" t="str" cm="1">
        <f t="array" ref="D62">IFERROR(
    _xlfn.LET(
        _xlpm.risultato,
        IFERROR(
            _xlfn.XLOOKUP(TRIM(UPPER(G62)),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pacchetti'!$E$1:$E$530))=TRIM(UPPER(G62)),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62" s="14" t="str" cm="1">
        <f t="array" ref="E62">IF(TRIM($B62)="SG-ANAGRAFE", "Bugni Batte",
    IF(TRIM($B62)="DW01A", "Cauda",
        IFERROR(
            VLOOKUP(
                INDEX('[1]Dettaglio pacchetti'!$AB$1:$AB$530,
                    _xlfn.AGGREGATE(15, 6,
                        (ROW($1:$345))/(ISNUMBER(SEARCH('[1]Dettaglio pacchetti'!$AB$1:$AB$530, $C62))),
                        1)
                ) &amp; "*",
                '[1]Dettaglio pacchetti'!$A$1:$I$530,
                3,
                FALSE
            ),
            IFERROR(VLOOKUP($C62, '[1]Dettaglio pacchetti'!$A$1:$I$530, 3, FALSE), "")
        )
    )
)</f>
        <v/>
      </c>
      <c r="F62" s="14" t="str" cm="1">
        <f t="array" ref="F62">IF(TRIM($B62)="DW01A", "ETL - EDW Estrattori",
    IFERROR(
        VLOOKUP(
            INDEX('[1]Dettaglio pacchetti'!$AB$1:$AB$530,
                _xlfn.AGGREGATE(15, 6,
                    (ROW($1:$345))/(ISNUMBER(SEARCH('[1]Dettaglio pacchetti'!$AB$1:$AB$530, $C62))),
                    1)
            ) &amp; "*",
            '[1]Dettaglio pacchetti'!$A$1:$I$530,
            4,
            FALSE
        ),
        IFERROR(VLOOKUP($C62, '[1]Dettaglio pacchetti'!$A$1:$I$530, 4, FALSE), "")
    )
)</f>
        <v/>
      </c>
      <c r="G62" s="14" t="str" cm="1">
        <f t="array" ref="G62">IF(TRIM($B62)="DW01A", "ETL - EDW Estrattori",
    IF(TRIM($B62)="SG-ANAGRAFE", "SIGEA Anagrafe",
        IFERROR(
            VLOOKUP(
                INDEX('[1]Dettaglio pacchetti'!$AB$1:$AB$530,
                    _xlfn.AGGREGATE(15, 6,
                        (ROW($1:$345))/(ISNUMBER(SEARCH('[1]Dettaglio pacchetti'!$AB$1:$AB$530, $C62))),
                        1)
                ) &amp; "*",
                '[1]Dettaglio pacchetti'!$A$1:$I$530,
                5,
                FALSE
            ),
            IFERROR(VLOOKUP($C62, '[1]Dettaglio pacchetti'!$A$1:$I$530, 5, FALSE), "")
        )
    )
)</f>
        <v/>
      </c>
      <c r="H62" s="14" t="str" cm="1">
        <f t="array" ref="H62">IFERROR(
    VLOOKUP(
        INDEX('[1]Dettaglio pacchetti'!$AB$1:$AB$530,
            _xlfn.AGGREGATE(15, 6,
                (ROW($1:$345))/(ISNUMBER(SEARCH('[1]Dettaglio pacchetti'!$AB$1:$AB$530, $C62))),
                1)
        ) &amp; "*",
        '[1]Dettaglio pacchetti'!$A$1:$I$530,
        6,
        FALSE
    ),
    IFERROR(VLOOKUP($C62, '[1]Dettaglio pacchetti'!$A$1:$I$530, 6, FALSE), "")
)</f>
        <v/>
      </c>
      <c r="I62" s="7" t="str">
        <f t="shared" si="6"/>
        <v/>
      </c>
      <c r="J62" t="str">
        <f t="shared" si="4"/>
        <v/>
      </c>
      <c r="K62" t="str">
        <f t="shared" si="5"/>
        <v/>
      </c>
      <c r="L62" s="14" t="str" cm="1">
        <f t="array" ref="L62">IFERROR(
    VLOOKUP(
        INDEX('[1]Dettaglio pacchetti'!$AB$1:$AB$530,
            _xlfn.AGGREGATE(15, 6,
                ROW($1:$345)/(ISNUMBER(SEARCH('[1]Dettaglio pacchetti'!$AB$1:$AB$530, $C62))),
                1)
        ) &amp; "*",
        '[1]Dettaglio pacchetti'!$A$1:$I$530,
        8,
        FALSE
    ),
    IFERROR(VLOOKUP($C62, '[1]Dettaglio pacchetti'!$A$1:$I$530, 8, FALSE), "")
)</f>
        <v/>
      </c>
      <c r="M62" s="14" t="str" cm="1">
        <f t="array" ref="M62">IFERROR(
    VLOOKUP(
        INDEX('[1]Dettaglio pacchetti'!$AB$1:$AB$530,
            _xlfn.AGGREGATE(15, 6,
                ROW($1:$345)/(ISNUMBER(SEARCH('[1]Dettaglio pacchetti'!$AB$1:$AB$530, $C62))),
                1)
        ) &amp; "*",
        '[1]Dettaglio pacchetti'!$A$1:$I$530,
        9,
        FALSE
    ),
    IFERROR(VLOOKUP($C62, '[1]Dettaglio pacchetti'!$A$1:$I$530, 9, FALSE), "")
)</f>
        <v/>
      </c>
      <c r="N62" s="7"/>
      <c r="O62" s="6"/>
      <c r="P62" s="6"/>
      <c r="AA62" t="str" cm="1">
        <f t="array" ref="AA62">IFERROR(VLOOKUP(INDEX('[1]Dettaglio pacchetti'!$AB$1:$AB$530, _xlfn.AGGREGATE(15, 6, (ROW($1:$345))/(ISNUMBER(SEARCH('[1]Dettaglio pacchetti'!$AB$1:$AB$530, $C62))), 1)) &amp; "*", '[1]Dettaglio pacchetti'!$A$1:$N$530, 13, FALSE) &amp; "", "")</f>
        <v/>
      </c>
      <c r="AB62" t="str" cm="1">
        <f t="array" ref="AB62">IF(ISNUMBER(SEARCH("dev.azure.com", AA62)), IFERROR(VLOOKUP(INDEX('[1]Dettaglio pacchetti'!$AB$1:$AB$530, _xlfn.AGGREGATE(15, 6, (ROW($1:$345))/(ISNUMBER(SEARCH('[1]Dettaglio pacchetti'!$AB$1:$AB$530, $C62))), 1)) &amp; "*", '[1]Dettaglio pacchetti'!$A$1:$N$530, 1, FALSE) &amp; "", ""), "")</f>
        <v/>
      </c>
      <c r="AC62" t="str" cm="1">
        <f t="array" ref="AC62">IFERROR(
    VLOOKUP(
        INDEX('[1]Dettaglio pacchetti'!$AB$1:$AB$530, _xlfn.AGGREGATE(15,6,ROW($1:$345)/(ISNUMBER(SEARCH('[1]Dettaglio pacchetti'!$AB$1:$AB$530,$C62))),1)) &amp; "*",
        '[1]Dettaglio pacchetti'!$A$1:$I$530,
        7,
        FALSE
    ),
    IFERROR(VLOOKUP($C62, '[1]Dettaglio pacchetti'!$A$1:$I$530, 7, FALSE), "")
)</f>
        <v/>
      </c>
      <c r="AD62" t="str" cm="1">
        <f t="array" ref="AD62">IFERROR(
    VLOOKUP(
        INDEX('[1]Dettaglio pacchetti'!$AB$1:$AB$530, _xlfn.AGGREGATE(15,6,ROW($1:$345)/(ISNUMBER(SEARCH('[1]Dettaglio pacchetti'!$AB$1:$AB$530,$C62))),1)) &amp; "*",
        '[1]Dettaglio pacchetti'!$A$1:$I$530,
        6,
        FALSE
    ),
    IFERROR(VLOOKUP($C62, '[1]Dettaglio pacchetti'!$A$1:$I$530, 6, FALSE), "")
)</f>
        <v/>
      </c>
    </row>
    <row r="63" spans="2:31" hidden="1" x14ac:dyDescent="0.3">
      <c r="B63" s="17"/>
      <c r="C63" s="14"/>
      <c r="D63" s="20" t="str" cm="1">
        <f t="array" ref="D63">IFERROR(
    _xlfn.LET(
        _xlpm.risultato,
        IFERROR(
            _xlfn.XLOOKUP(TRIM(UPPER(G63)),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pacchetti'!$E$1:$E$530))=TRIM(UPPER(G63)),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63" s="14" t="str" cm="1">
        <f t="array" ref="E63">IF(TRIM($B63)="SG-ANAGRAFE", "Bugni Batte",
    IF(TRIM($B63)="DW01A", "Cauda",
        IFERROR(
            VLOOKUP(
                INDEX('[1]Dettaglio pacchetti'!$AB$1:$AB$530,
                    _xlfn.AGGREGATE(15, 6,
                        (ROW($1:$345))/(ISNUMBER(SEARCH('[1]Dettaglio pacchetti'!$AB$1:$AB$530, $C63))),
                        1)
                ) &amp; "*",
                '[1]Dettaglio pacchetti'!$A$1:$I$530,
                3,
                FALSE
            ),
            IFERROR(VLOOKUP($C63, '[1]Dettaglio pacchetti'!$A$1:$I$530, 3, FALSE), "")
        )
    )
)</f>
        <v/>
      </c>
      <c r="F63" s="14" t="str" cm="1">
        <f t="array" ref="F63">IF(TRIM($B63)="DW01A", "ETL - EDW Estrattori",
    IFERROR(
        VLOOKUP(
            INDEX('[1]Dettaglio pacchetti'!$AB$1:$AB$530,
                _xlfn.AGGREGATE(15, 6,
                    (ROW($1:$345))/(ISNUMBER(SEARCH('[1]Dettaglio pacchetti'!$AB$1:$AB$530, $C63))),
                    1)
            ) &amp; "*",
            '[1]Dettaglio pacchetti'!$A$1:$I$530,
            4,
            FALSE
        ),
        IFERROR(VLOOKUP($C63, '[1]Dettaglio pacchetti'!$A$1:$I$530, 4, FALSE), "")
    )
)</f>
        <v/>
      </c>
      <c r="G63" s="14" t="str" cm="1">
        <f t="array" ref="G63">IF(TRIM($B63)="DW01A", "ETL - EDW Estrattori",
    IF(TRIM($B63)="SG-ANAGRAFE", "SIGEA Anagrafe",
        IFERROR(
            VLOOKUP(
                INDEX('[1]Dettaglio pacchetti'!$AB$1:$AB$530,
                    _xlfn.AGGREGATE(15, 6,
                        (ROW($1:$345))/(ISNUMBER(SEARCH('[1]Dettaglio pacchetti'!$AB$1:$AB$530, $C63))),
                        1)
                ) &amp; "*",
                '[1]Dettaglio pacchetti'!$A$1:$I$530,
                5,
                FALSE
            ),
            IFERROR(VLOOKUP($C63, '[1]Dettaglio pacchetti'!$A$1:$I$530, 5, FALSE), "")
        )
    )
)</f>
        <v/>
      </c>
      <c r="H63" s="14" t="str" cm="1">
        <f t="array" ref="H63">IFERROR(
    VLOOKUP(
        INDEX('[1]Dettaglio pacchetti'!$AB$1:$AB$530,
            _xlfn.AGGREGATE(15, 6,
                (ROW($1:$345))/(ISNUMBER(SEARCH('[1]Dettaglio pacchetti'!$AB$1:$AB$530, $C63))),
                1)
        ) &amp; "*",
        '[1]Dettaglio pacchetti'!$A$1:$I$530,
        6,
        FALSE
    ),
    IFERROR(VLOOKUP($C63, '[1]Dettaglio pacchetti'!$A$1:$I$530, 6, FALSE), "")
)</f>
        <v/>
      </c>
      <c r="I63" s="7" t="str">
        <f t="shared" si="6"/>
        <v/>
      </c>
      <c r="J63" t="str">
        <f t="shared" si="4"/>
        <v/>
      </c>
      <c r="K63" t="str">
        <f t="shared" si="5"/>
        <v/>
      </c>
      <c r="L63" s="14" t="str" cm="1">
        <f t="array" ref="L63">IFERROR(
    VLOOKUP(
        INDEX('[1]Dettaglio pacchetti'!$AB$1:$AB$530,
            _xlfn.AGGREGATE(15, 6,
                ROW($1:$345)/(ISNUMBER(SEARCH('[1]Dettaglio pacchetti'!$AB$1:$AB$530, $C63))),
                1)
        ) &amp; "*",
        '[1]Dettaglio pacchetti'!$A$1:$I$530,
        8,
        FALSE
    ),
    IFERROR(VLOOKUP($C63, '[1]Dettaglio pacchetti'!$A$1:$I$530, 8, FALSE), "")
)</f>
        <v/>
      </c>
      <c r="M63" s="14" t="str" cm="1">
        <f t="array" ref="M63">IFERROR(
    VLOOKUP(
        INDEX('[1]Dettaglio pacchetti'!$AB$1:$AB$530,
            _xlfn.AGGREGATE(15, 6,
                ROW($1:$345)/(ISNUMBER(SEARCH('[1]Dettaglio pacchetti'!$AB$1:$AB$530, $C63))),
                1)
        ) &amp; "*",
        '[1]Dettaglio pacchetti'!$A$1:$I$530,
        9,
        FALSE
    ),
    IFERROR(VLOOKUP($C63, '[1]Dettaglio pacchetti'!$A$1:$I$530, 9, FALSE), "")
)</f>
        <v/>
      </c>
      <c r="N63" s="7"/>
      <c r="P63" s="6"/>
      <c r="AA63" t="str" cm="1">
        <f t="array" ref="AA63">IFERROR(VLOOKUP(INDEX('[1]Dettaglio pacchetti'!$AB$1:$AB$530, _xlfn.AGGREGATE(15, 6, (ROW($1:$345))/(ISNUMBER(SEARCH('[1]Dettaglio pacchetti'!$AB$1:$AB$530, $C63))), 1)) &amp; "*", '[1]Dettaglio pacchetti'!$A$1:$N$530, 13, FALSE) &amp; "", "")</f>
        <v/>
      </c>
      <c r="AB63" t="str" cm="1">
        <f t="array" ref="AB63">IF(ISNUMBER(SEARCH("dev.azure.com", AA63)), IFERROR(VLOOKUP(INDEX('[1]Dettaglio pacchetti'!$AB$1:$AB$530, _xlfn.AGGREGATE(15, 6, (ROW($1:$345))/(ISNUMBER(SEARCH('[1]Dettaglio pacchetti'!$AB$1:$AB$530, $C63))), 1)) &amp; "*", '[1]Dettaglio pacchetti'!$A$1:$N$530, 1, FALSE) &amp; "", ""), "")</f>
        <v/>
      </c>
      <c r="AC63" t="str" cm="1">
        <f t="array" ref="AC63">IFERROR(
    VLOOKUP(
        INDEX('[1]Dettaglio pacchetti'!$AB$1:$AB$530, _xlfn.AGGREGATE(15,6,ROW($1:$345)/(ISNUMBER(SEARCH('[1]Dettaglio pacchetti'!$AB$1:$AB$530,$C63))),1)) &amp; "*",
        '[1]Dettaglio pacchetti'!$A$1:$I$530,
        7,
        FALSE
    ),
    IFERROR(VLOOKUP($C63, '[1]Dettaglio pacchetti'!$A$1:$I$530, 7, FALSE), "")
)</f>
        <v/>
      </c>
      <c r="AD63" t="str" cm="1">
        <f t="array" ref="AD63">IFERROR(
    VLOOKUP(
        INDEX('[1]Dettaglio pacchetti'!$AB$1:$AB$530, _xlfn.AGGREGATE(15,6,ROW($1:$345)/(ISNUMBER(SEARCH('[1]Dettaglio pacchetti'!$AB$1:$AB$530,$C63))),1)) &amp; "*",
        '[1]Dettaglio pacchetti'!$A$1:$I$530,
        6,
        FALSE
    ),
    IFERROR(VLOOKUP($C63, '[1]Dettaglio pacchetti'!$A$1:$I$530, 6, FALSE), "")
)</f>
        <v/>
      </c>
    </row>
    <row r="64" spans="2:31" hidden="1" x14ac:dyDescent="0.3">
      <c r="B64" s="17"/>
      <c r="C64" s="14"/>
      <c r="D64" s="20" t="str" cm="1">
        <f t="array" ref="D64">IFERROR(
    _xlfn.LET(
        _xlpm.risultato,
        IFERROR(
            _xlfn.XLOOKUP(TRIM(UPPER(G64)),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pacchetti'!$E$1:$E$530))=TRIM(UPPER(G64)),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64" s="14" t="str" cm="1">
        <f t="array" ref="E64">IF(TRIM($B64)="SG-ANAGRAFE", "Bugni Batte",
    IF(TRIM($B64)="DW01A", "Cauda",
        IFERROR(
            VLOOKUP(
                INDEX('[1]Dettaglio pacchetti'!$AB$1:$AB$530,
                    _xlfn.AGGREGATE(15, 6,
                        (ROW($1:$345))/(ISNUMBER(SEARCH('[1]Dettaglio pacchetti'!$AB$1:$AB$530, $C64))),
                        1)
                ) &amp; "*",
                '[1]Dettaglio pacchetti'!$A$1:$I$530,
                3,
                FALSE
            ),
            IFERROR(VLOOKUP($C64, '[1]Dettaglio pacchetti'!$A$1:$I$530, 3, FALSE), "")
        )
    )
)</f>
        <v/>
      </c>
      <c r="F64" s="14" t="str" cm="1">
        <f t="array" ref="F64">IF(TRIM($B64)="DW01A", "ETL - EDW Estrattori",
    IFERROR(
        VLOOKUP(
            INDEX('[1]Dettaglio pacchetti'!$AB$1:$AB$530,
                _xlfn.AGGREGATE(15, 6,
                    (ROW($1:$345))/(ISNUMBER(SEARCH('[1]Dettaglio pacchetti'!$AB$1:$AB$530, $C64))),
                    1)
            ) &amp; "*",
            '[1]Dettaglio pacchetti'!$A$1:$I$530,
            4,
            FALSE
        ),
        IFERROR(VLOOKUP($C64, '[1]Dettaglio pacchetti'!$A$1:$I$530, 4, FALSE), "")
    )
)</f>
        <v/>
      </c>
      <c r="G64" s="14" t="str" cm="1">
        <f t="array" ref="G64">IF(TRIM($B64)="DW01A", "ETL - EDW Estrattori",
    IF(TRIM($B64)="SG-ANAGRAFE", "SIGEA Anagrafe",
        IFERROR(
            VLOOKUP(
                INDEX('[1]Dettaglio pacchetti'!$AB$1:$AB$530,
                    _xlfn.AGGREGATE(15, 6,
                        (ROW($1:$345))/(ISNUMBER(SEARCH('[1]Dettaglio pacchetti'!$AB$1:$AB$530, $C64))),
                        1)
                ) &amp; "*",
                '[1]Dettaglio pacchetti'!$A$1:$I$530,
                5,
                FALSE
            ),
            IFERROR(VLOOKUP($C64, '[1]Dettaglio pacchetti'!$A$1:$I$530, 5, FALSE), "")
        )
    )
)</f>
        <v/>
      </c>
      <c r="H64" s="14" t="str" cm="1">
        <f t="array" ref="H64">IFERROR(
    VLOOKUP(
        INDEX('[1]Dettaglio pacchetti'!$AB$1:$AB$530,
            _xlfn.AGGREGATE(15, 6,
                (ROW($1:$345))/(ISNUMBER(SEARCH('[1]Dettaglio pacchetti'!$AB$1:$AB$530, $C64))),
                1)
        ) &amp; "*",
        '[1]Dettaglio pacchetti'!$A$1:$I$530,
        6,
        FALSE
    ),
    IFERROR(VLOOKUP($C64, '[1]Dettaglio pacchetti'!$A$1:$I$530, 6, FALSE), "")
)</f>
        <v/>
      </c>
      <c r="I64" s="7" t="str">
        <f t="shared" si="6"/>
        <v/>
      </c>
      <c r="J64" t="str">
        <f t="shared" si="4"/>
        <v/>
      </c>
      <c r="K64" t="str">
        <f t="shared" si="5"/>
        <v/>
      </c>
      <c r="L64" s="14" t="str" cm="1">
        <f t="array" ref="L64">IFERROR(
    VLOOKUP(
        INDEX('[1]Dettaglio pacchetti'!$AB$1:$AB$530,
            _xlfn.AGGREGATE(15, 6,
                ROW($1:$345)/(ISNUMBER(SEARCH('[1]Dettaglio pacchetti'!$AB$1:$AB$530, $C64))),
                1)
        ) &amp; "*",
        '[1]Dettaglio pacchetti'!$A$1:$I$530,
        8,
        FALSE
    ),
    IFERROR(VLOOKUP($C64, '[1]Dettaglio pacchetti'!$A$1:$I$530, 8, FALSE), "")
)</f>
        <v/>
      </c>
      <c r="M64" s="14" t="str" cm="1">
        <f t="array" ref="M64">IFERROR(
    VLOOKUP(
        INDEX('[1]Dettaglio pacchetti'!$AB$1:$AB$530,
            _xlfn.AGGREGATE(15, 6,
                ROW($1:$345)/(ISNUMBER(SEARCH('[1]Dettaglio pacchetti'!$AB$1:$AB$530, $C64))),
                1)
        ) &amp; "*",
        '[1]Dettaglio pacchetti'!$A$1:$I$530,
        9,
        FALSE
    ),
    IFERROR(VLOOKUP($C64, '[1]Dettaglio pacchetti'!$A$1:$I$530, 9, FALSE), "")
)</f>
        <v/>
      </c>
      <c r="N64" s="7"/>
      <c r="P64" s="6"/>
      <c r="AA64" t="str" cm="1">
        <f t="array" ref="AA64">IFERROR(VLOOKUP(INDEX('[1]Dettaglio pacchetti'!$AB$1:$AB$530, _xlfn.AGGREGATE(15, 6, (ROW($1:$345))/(ISNUMBER(SEARCH('[1]Dettaglio pacchetti'!$AB$1:$AB$530, $C64))), 1)) &amp; "*", '[1]Dettaglio pacchetti'!$A$1:$N$530, 13, FALSE) &amp; "", "")</f>
        <v/>
      </c>
      <c r="AB64" t="str" cm="1">
        <f t="array" ref="AB64">IF(ISNUMBER(SEARCH("dev.azure.com", AA64)), IFERROR(VLOOKUP(INDEX('[1]Dettaglio pacchetti'!$AB$1:$AB$530, _xlfn.AGGREGATE(15, 6, (ROW($1:$345))/(ISNUMBER(SEARCH('[1]Dettaglio pacchetti'!$AB$1:$AB$530, $C64))), 1)) &amp; "*", '[1]Dettaglio pacchetti'!$A$1:$N$530, 1, FALSE) &amp; "", ""), "")</f>
        <v/>
      </c>
      <c r="AC64" t="str" cm="1">
        <f t="array" ref="AC64">IFERROR(
    VLOOKUP(
        INDEX('[1]Dettaglio pacchetti'!$AB$1:$AB$530, _xlfn.AGGREGATE(15,6,ROW($1:$345)/(ISNUMBER(SEARCH('[1]Dettaglio pacchetti'!$AB$1:$AB$530,$C64))),1)) &amp; "*",
        '[1]Dettaglio pacchetti'!$A$1:$I$530,
        7,
        FALSE
    ),
    IFERROR(VLOOKUP($C64, '[1]Dettaglio pacchetti'!$A$1:$I$530, 7, FALSE), "")
)</f>
        <v/>
      </c>
      <c r="AD64" t="str" cm="1">
        <f t="array" ref="AD64">IFERROR(
    VLOOKUP(
        INDEX('[1]Dettaglio pacchetti'!$AB$1:$AB$530, _xlfn.AGGREGATE(15,6,ROW($1:$345)/(ISNUMBER(SEARCH('[1]Dettaglio pacchetti'!$AB$1:$AB$530,$C64))),1)) &amp; "*",
        '[1]Dettaglio pacchetti'!$A$1:$I$530,
        6,
        FALSE
    ),
    IFERROR(VLOOKUP($C64, '[1]Dettaglio pacchetti'!$A$1:$I$530, 6, FALSE), "")
)</f>
        <v/>
      </c>
    </row>
    <row r="65" spans="2:30" hidden="1" x14ac:dyDescent="0.3">
      <c r="B65" s="17"/>
      <c r="C65" s="14"/>
      <c r="D65" s="20" t="str" cm="1">
        <f t="array" ref="D65">IFERROR(
    _xlfn.LET(
        _xlpm.risultato,
        IFERROR(
            _xlfn.XLOOKUP(TRIM(UPPER(G65)),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pacchetti'!$E$1:$E$530))=TRIM(UPPER(G65)),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65" s="14" t="str" cm="1">
        <f t="array" ref="E65">IF(TRIM($B65)="SG-ANAGRAFE", "Bugni Batte",
    IF(TRIM($B65)="DW01A", "Cauda",
        IFERROR(
            VLOOKUP(
                INDEX('[1]Dettaglio pacchetti'!$AB$1:$AB$530,
                    _xlfn.AGGREGATE(15, 6,
                        (ROW($1:$345))/(ISNUMBER(SEARCH('[1]Dettaglio pacchetti'!$AB$1:$AB$530, $C65))),
                        1)
                ) &amp; "*",
                '[1]Dettaglio pacchetti'!$A$1:$I$530,
                3,
                FALSE
            ),
            IFERROR(VLOOKUP($C65, '[1]Dettaglio pacchetti'!$A$1:$I$530, 3, FALSE), "")
        )
    )
)</f>
        <v/>
      </c>
      <c r="F65" s="14" t="str" cm="1">
        <f t="array" ref="F65">IF(TRIM($B65)="DW01A", "ETL - EDW Estrattori",
    IFERROR(
        VLOOKUP(
            INDEX('[1]Dettaglio pacchetti'!$AB$1:$AB$530,
                _xlfn.AGGREGATE(15, 6,
                    (ROW($1:$345))/(ISNUMBER(SEARCH('[1]Dettaglio pacchetti'!$AB$1:$AB$530, $C65))),
                    1)
            ) &amp; "*",
            '[1]Dettaglio pacchetti'!$A$1:$I$530,
            4,
            FALSE
        ),
        IFERROR(VLOOKUP($C65, '[1]Dettaglio pacchetti'!$A$1:$I$530, 4, FALSE), "")
    )
)</f>
        <v/>
      </c>
      <c r="G65" s="14" t="str" cm="1">
        <f t="array" ref="G65">IF(TRIM($B65)="DW01A", "ETL - EDW Estrattori",
    IF(TRIM($B65)="SG-ANAGRAFE", "SIGEA Anagrafe",
        IFERROR(
            VLOOKUP(
                INDEX('[1]Dettaglio pacchetti'!$AB$1:$AB$530,
                    _xlfn.AGGREGATE(15, 6,
                        (ROW($1:$345))/(ISNUMBER(SEARCH('[1]Dettaglio pacchetti'!$AB$1:$AB$530, $C65))),
                        1)
                ) &amp; "*",
                '[1]Dettaglio pacchetti'!$A$1:$I$530,
                5,
                FALSE
            ),
            IFERROR(VLOOKUP($C65, '[1]Dettaglio pacchetti'!$A$1:$I$530, 5, FALSE), "")
        )
    )
)</f>
        <v/>
      </c>
      <c r="H65" s="14" t="str" cm="1">
        <f t="array" ref="H65">IFERROR(
    VLOOKUP(
        INDEX('[1]Dettaglio pacchetti'!$AB$1:$AB$530,
            _xlfn.AGGREGATE(15, 6,
                (ROW($1:$345))/(ISNUMBER(SEARCH('[1]Dettaglio pacchetti'!$AB$1:$AB$530, $C65))),
                1)
        ) &amp; "*",
        '[1]Dettaglio pacchetti'!$A$1:$I$530,
        6,
        FALSE
    ),
    IFERROR(VLOOKUP($C65, '[1]Dettaglio pacchetti'!$A$1:$I$530, 6, FALSE), "")
)</f>
        <v/>
      </c>
      <c r="I65" s="7" t="str">
        <f t="shared" si="6"/>
        <v/>
      </c>
      <c r="J65" t="str">
        <f t="shared" si="4"/>
        <v/>
      </c>
      <c r="K65" t="str">
        <f t="shared" si="5"/>
        <v/>
      </c>
      <c r="L65" s="14" t="str" cm="1">
        <f t="array" ref="L65">IFERROR(
    VLOOKUP(
        INDEX('[1]Dettaglio pacchetti'!$AB$1:$AB$530,
            _xlfn.AGGREGATE(15, 6,
                ROW($1:$345)/(ISNUMBER(SEARCH('[1]Dettaglio pacchetti'!$AB$1:$AB$530, $C65))),
                1)
        ) &amp; "*",
        '[1]Dettaglio pacchetti'!$A$1:$I$530,
        8,
        FALSE
    ),
    IFERROR(VLOOKUP($C65, '[1]Dettaglio pacchetti'!$A$1:$I$530, 8, FALSE), "")
)</f>
        <v/>
      </c>
      <c r="M65" s="14" t="str" cm="1">
        <f t="array" ref="M65">IFERROR(
    VLOOKUP(
        INDEX('[1]Dettaglio pacchetti'!$AB$1:$AB$530,
            _xlfn.AGGREGATE(15, 6,
                ROW($1:$345)/(ISNUMBER(SEARCH('[1]Dettaglio pacchetti'!$AB$1:$AB$530, $C65))),
                1)
        ) &amp; "*",
        '[1]Dettaglio pacchetti'!$A$1:$I$530,
        9,
        FALSE
    ),
    IFERROR(VLOOKUP($C65, '[1]Dettaglio pacchetti'!$A$1:$I$530, 9, FALSE), "")
)</f>
        <v/>
      </c>
      <c r="N65" s="7"/>
      <c r="P65" s="6"/>
      <c r="AA65" t="str" cm="1">
        <f t="array" ref="AA65">IFERROR(VLOOKUP(INDEX('[1]Dettaglio pacchetti'!$AB$1:$AB$530, _xlfn.AGGREGATE(15, 6, (ROW($1:$345))/(ISNUMBER(SEARCH('[1]Dettaglio pacchetti'!$AB$1:$AB$530, $C65))), 1)) &amp; "*", '[1]Dettaglio pacchetti'!$A$1:$N$530, 13, FALSE) &amp; "", "")</f>
        <v/>
      </c>
      <c r="AB65" t="str" cm="1">
        <f t="array" ref="AB65">IF(ISNUMBER(SEARCH("dev.azure.com", AA65)), IFERROR(VLOOKUP(INDEX('[1]Dettaglio pacchetti'!$AB$1:$AB$530, _xlfn.AGGREGATE(15, 6, (ROW($1:$345))/(ISNUMBER(SEARCH('[1]Dettaglio pacchetti'!$AB$1:$AB$530, $C65))), 1)) &amp; "*", '[1]Dettaglio pacchetti'!$A$1:$N$530, 1, FALSE) &amp; "", ""), "")</f>
        <v/>
      </c>
      <c r="AC65" t="str" cm="1">
        <f t="array" ref="AC65">IFERROR(
    VLOOKUP(
        INDEX('[1]Dettaglio pacchetti'!$AB$1:$AB$530, _xlfn.AGGREGATE(15,6,ROW($1:$345)/(ISNUMBER(SEARCH('[1]Dettaglio pacchetti'!$AB$1:$AB$530,$C65))),1)) &amp; "*",
        '[1]Dettaglio pacchetti'!$A$1:$I$530,
        7,
        FALSE
    ),
    IFERROR(VLOOKUP($C65, '[1]Dettaglio pacchetti'!$A$1:$I$530, 7, FALSE), "")
)</f>
        <v/>
      </c>
      <c r="AD65" t="str" cm="1">
        <f t="array" ref="AD65">IFERROR(
    VLOOKUP(
        INDEX('[1]Dettaglio pacchetti'!$AB$1:$AB$530, _xlfn.AGGREGATE(15,6,ROW($1:$345)/(ISNUMBER(SEARCH('[1]Dettaglio pacchetti'!$AB$1:$AB$530,$C65))),1)) &amp; "*",
        '[1]Dettaglio pacchetti'!$A$1:$I$530,
        6,
        FALSE
    ),
    IFERROR(VLOOKUP($C65, '[1]Dettaglio pacchetti'!$A$1:$I$530, 6, FALSE), "")
)</f>
        <v/>
      </c>
    </row>
    <row r="66" spans="2:30" hidden="1" x14ac:dyDescent="0.3">
      <c r="B66" s="17"/>
      <c r="C66" s="14"/>
      <c r="D66" s="20" t="str" cm="1">
        <f t="array" ref="D66">IFERROR(
    _xlfn.LET(
        _xlpm.risultato,
        IFERROR(
            _xlfn.XLOOKUP(TRIM(UPPER(G66)),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pacchetti'!$E$1:$E$530))=TRIM(UPPER(G66)),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66" s="14" t="str" cm="1">
        <f t="array" ref="E66">IF(TRIM($B66)="SG-ANAGRAFE", "Bugni Batte",
    IF(TRIM($B66)="DW01A", "Cauda",
        IFERROR(
            VLOOKUP(
                INDEX('[1]Dettaglio pacchetti'!$AB$1:$AB$530,
                    _xlfn.AGGREGATE(15, 6,
                        (ROW($1:$345))/(ISNUMBER(SEARCH('[1]Dettaglio pacchetti'!$AB$1:$AB$530, $C66))),
                        1)
                ) &amp; "*",
                '[1]Dettaglio pacchetti'!$A$1:$I$530,
                3,
                FALSE
            ),
            IFERROR(VLOOKUP($C66, '[1]Dettaglio pacchetti'!$A$1:$I$530, 3, FALSE), "")
        )
    )
)</f>
        <v/>
      </c>
      <c r="F66" s="14" t="str" cm="1">
        <f t="array" ref="F66">IF(TRIM($B66)="DW01A", "ETL - EDW Estrattori",
    IFERROR(
        VLOOKUP(
            INDEX('[1]Dettaglio pacchetti'!$AB$1:$AB$530,
                _xlfn.AGGREGATE(15, 6,
                    (ROW($1:$345))/(ISNUMBER(SEARCH('[1]Dettaglio pacchetti'!$AB$1:$AB$530, $C66))),
                    1)
            ) &amp; "*",
            '[1]Dettaglio pacchetti'!$A$1:$I$530,
            4,
            FALSE
        ),
        IFERROR(VLOOKUP($C66, '[1]Dettaglio pacchetti'!$A$1:$I$530, 4, FALSE), "")
    )
)</f>
        <v/>
      </c>
      <c r="G66" s="14" t="str" cm="1">
        <f t="array" ref="G66">IF(TRIM($B66)="DW01A", "ETL - EDW Estrattori",
    IF(TRIM($B66)="SG-ANAGRAFE", "SIGEA Anagrafe",
        IFERROR(
            VLOOKUP(
                INDEX('[1]Dettaglio pacchetti'!$AB$1:$AB$530,
                    _xlfn.AGGREGATE(15, 6,
                        (ROW($1:$345))/(ISNUMBER(SEARCH('[1]Dettaglio pacchetti'!$AB$1:$AB$530, $C66))),
                        1)
                ) &amp; "*",
                '[1]Dettaglio pacchetti'!$A$1:$I$530,
                5,
                FALSE
            ),
            IFERROR(VLOOKUP($C66, '[1]Dettaglio pacchetti'!$A$1:$I$530, 5, FALSE), "")
        )
    )
)</f>
        <v/>
      </c>
      <c r="H66" s="14" t="str" cm="1">
        <f t="array" ref="H66">IFERROR(
    VLOOKUP(
        INDEX('[1]Dettaglio pacchetti'!$AB$1:$AB$530,
            _xlfn.AGGREGATE(15, 6,
                (ROW($1:$345))/(ISNUMBER(SEARCH('[1]Dettaglio pacchetti'!$AB$1:$AB$530, $C66))),
                1)
        ) &amp; "*",
        '[1]Dettaglio pacchetti'!$A$1:$I$530,
        6,
        FALSE
    ),
    IFERROR(VLOOKUP($C66, '[1]Dettaglio pacchetti'!$A$1:$I$530, 6, FALSE), "")
)</f>
        <v/>
      </c>
      <c r="I66" s="7" t="str">
        <f t="shared" si="6"/>
        <v/>
      </c>
      <c r="J66" t="str">
        <f t="shared" si="4"/>
        <v/>
      </c>
      <c r="K66" t="str">
        <f t="shared" si="5"/>
        <v/>
      </c>
      <c r="L66" s="14" t="str" cm="1">
        <f t="array" ref="L66">IFERROR(
    VLOOKUP(
        INDEX('[1]Dettaglio pacchetti'!$AB$1:$AB$530,
            _xlfn.AGGREGATE(15, 6,
                ROW($1:$345)/(ISNUMBER(SEARCH('[1]Dettaglio pacchetti'!$AB$1:$AB$530, $C66))),
                1)
        ) &amp; "*",
        '[1]Dettaglio pacchetti'!$A$1:$I$530,
        8,
        FALSE
    ),
    IFERROR(VLOOKUP($C66, '[1]Dettaglio pacchetti'!$A$1:$I$530, 8, FALSE), "")
)</f>
        <v/>
      </c>
      <c r="M66" s="14" t="str" cm="1">
        <f t="array" ref="M66">IFERROR(
    VLOOKUP(
        INDEX('[1]Dettaglio pacchetti'!$AB$1:$AB$530,
            _xlfn.AGGREGATE(15, 6,
                ROW($1:$345)/(ISNUMBER(SEARCH('[1]Dettaglio pacchetti'!$AB$1:$AB$530, $C66))),
                1)
        ) &amp; "*",
        '[1]Dettaglio pacchetti'!$A$1:$I$530,
        9,
        FALSE
    ),
    IFERROR(VLOOKUP($C66, '[1]Dettaglio pacchetti'!$A$1:$I$530, 9, FALSE), "")
)</f>
        <v/>
      </c>
      <c r="N66" s="7"/>
      <c r="P66" s="6"/>
      <c r="AA66" t="str" cm="1">
        <f t="array" ref="AA66">IFERROR(VLOOKUP(INDEX('[1]Dettaglio pacchetti'!$AB$1:$AB$530, _xlfn.AGGREGATE(15, 6, (ROW($1:$345))/(ISNUMBER(SEARCH('[1]Dettaglio pacchetti'!$AB$1:$AB$530, $C66))), 1)) &amp; "*", '[1]Dettaglio pacchetti'!$A$1:$N$530, 13, FALSE) &amp; "", "")</f>
        <v/>
      </c>
      <c r="AB66" t="str" cm="1">
        <f t="array" ref="AB66">IF(ISNUMBER(SEARCH("dev.azure.com", AA66)), IFERROR(VLOOKUP(INDEX('[1]Dettaglio pacchetti'!$AB$1:$AB$530, _xlfn.AGGREGATE(15, 6, (ROW($1:$345))/(ISNUMBER(SEARCH('[1]Dettaglio pacchetti'!$AB$1:$AB$530, $C66))), 1)) &amp; "*", '[1]Dettaglio pacchetti'!$A$1:$N$530, 1, FALSE) &amp; "", ""), "")</f>
        <v/>
      </c>
      <c r="AC66" t="str" cm="1">
        <f t="array" ref="AC66">IFERROR(
    VLOOKUP(
        INDEX('[1]Dettaglio pacchetti'!$AB$1:$AB$530, _xlfn.AGGREGATE(15,6,ROW($1:$345)/(ISNUMBER(SEARCH('[1]Dettaglio pacchetti'!$AB$1:$AB$530,$C66))),1)) &amp; "*",
        '[1]Dettaglio pacchetti'!$A$1:$I$530,
        7,
        FALSE
    ),
    IFERROR(VLOOKUP($C66, '[1]Dettaglio pacchetti'!$A$1:$I$530, 7, FALSE), "")
)</f>
        <v/>
      </c>
      <c r="AD66" t="str" cm="1">
        <f t="array" ref="AD66">IFERROR(
    VLOOKUP(
        INDEX('[1]Dettaglio pacchetti'!$AB$1:$AB$530, _xlfn.AGGREGATE(15,6,ROW($1:$345)/(ISNUMBER(SEARCH('[1]Dettaglio pacchetti'!$AB$1:$AB$530,$C66))),1)) &amp; "*",
        '[1]Dettaglio pacchetti'!$A$1:$I$530,
        6,
        FALSE
    ),
    IFERROR(VLOOKUP($C66, '[1]Dettaglio pacchetti'!$A$1:$I$530, 6, FALSE), "")
)</f>
        <v/>
      </c>
    </row>
    <row r="67" spans="2:30" hidden="1" x14ac:dyDescent="0.3">
      <c r="B67" s="17"/>
      <c r="C67" s="14"/>
      <c r="D67" s="20" t="str" cm="1">
        <f t="array" ref="D67">IFERROR(
    _xlfn.LET(
        _xlpm.risultato,
        IFERROR(
            _xlfn.XLOOKUP(TRIM(UPPER(G67)),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pacchetti'!$E$1:$E$530))=TRIM(UPPER(G67)),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67" s="14" t="str" cm="1">
        <f t="array" ref="E67">IF(TRIM($B67)="SG-ANAGRAFE", "Bugni Batte",
    IF(TRIM($B67)="DW01A", "Cauda",
        IFERROR(
            VLOOKUP(
                INDEX('[1]Dettaglio pacchetti'!$AB$1:$AB$530,
                    _xlfn.AGGREGATE(15, 6,
                        (ROW($1:$345))/(ISNUMBER(SEARCH('[1]Dettaglio pacchetti'!$AB$1:$AB$530, $C67))),
                        1)
                ) &amp; "*",
                '[1]Dettaglio pacchetti'!$A$1:$I$530,
                3,
                FALSE
            ),
            IFERROR(VLOOKUP($C67, '[1]Dettaglio pacchetti'!$A$1:$I$530, 3, FALSE), "")
        )
    )
)</f>
        <v/>
      </c>
      <c r="F67" s="14" t="str" cm="1">
        <f t="array" ref="F67">IF(TRIM($B67)="DW01A", "ETL - EDW Estrattori",
    IFERROR(
        VLOOKUP(
            INDEX('[1]Dettaglio pacchetti'!$AB$1:$AB$530,
                _xlfn.AGGREGATE(15, 6,
                    (ROW($1:$345))/(ISNUMBER(SEARCH('[1]Dettaglio pacchetti'!$AB$1:$AB$530, $C67))),
                    1)
            ) &amp; "*",
            '[1]Dettaglio pacchetti'!$A$1:$I$530,
            4,
            FALSE
        ),
        IFERROR(VLOOKUP($C67, '[1]Dettaglio pacchetti'!$A$1:$I$530, 4, FALSE), "")
    )
)</f>
        <v/>
      </c>
      <c r="G67" s="14" t="str" cm="1">
        <f t="array" ref="G67">IF(TRIM($B67)="DW01A", "ETL - EDW Estrattori",
    IF(TRIM($B67)="SG-ANAGRAFE", "SIGEA Anagrafe",
        IFERROR(
            VLOOKUP(
                INDEX('[1]Dettaglio pacchetti'!$AB$1:$AB$530,
                    _xlfn.AGGREGATE(15, 6,
                        (ROW($1:$345))/(ISNUMBER(SEARCH('[1]Dettaglio pacchetti'!$AB$1:$AB$530, $C67))),
                        1)
                ) &amp; "*",
                '[1]Dettaglio pacchetti'!$A$1:$I$530,
                5,
                FALSE
            ),
            IFERROR(VLOOKUP($C67, '[1]Dettaglio pacchetti'!$A$1:$I$530, 5, FALSE), "")
        )
    )
)</f>
        <v/>
      </c>
      <c r="H67" s="14" t="str" cm="1">
        <f t="array" ref="H67">IFERROR(
    VLOOKUP(
        INDEX('[1]Dettaglio pacchetti'!$AB$1:$AB$530,
            _xlfn.AGGREGATE(15, 6,
                (ROW($1:$345))/(ISNUMBER(SEARCH('[1]Dettaglio pacchetti'!$AB$1:$AB$530, $C67))),
                1)
        ) &amp; "*",
        '[1]Dettaglio pacchetti'!$A$1:$I$530,
        6,
        FALSE
    ),
    IFERROR(VLOOKUP($C67, '[1]Dettaglio pacchetti'!$A$1:$I$530, 6, FALSE), "")
)</f>
        <v/>
      </c>
      <c r="I67" s="7" t="str">
        <f t="shared" si="6"/>
        <v/>
      </c>
      <c r="J67" t="str">
        <f t="shared" si="4"/>
        <v/>
      </c>
      <c r="K67" t="str">
        <f t="shared" si="5"/>
        <v/>
      </c>
      <c r="L67" s="14" t="str" cm="1">
        <f t="array" ref="L67">IFERROR(
    VLOOKUP(
        INDEX('[1]Dettaglio pacchetti'!$AB$1:$AB$530,
            _xlfn.AGGREGATE(15, 6,
                ROW($1:$345)/(ISNUMBER(SEARCH('[1]Dettaglio pacchetti'!$AB$1:$AB$530, $C67))),
                1)
        ) &amp; "*",
        '[1]Dettaglio pacchetti'!$A$1:$I$530,
        8,
        FALSE
    ),
    IFERROR(VLOOKUP($C67, '[1]Dettaglio pacchetti'!$A$1:$I$530, 8, FALSE), "")
)</f>
        <v/>
      </c>
      <c r="M67" s="14" t="str" cm="1">
        <f t="array" ref="M67">IFERROR(
    VLOOKUP(
        INDEX('[1]Dettaglio pacchetti'!$AB$1:$AB$530,
            _xlfn.AGGREGATE(15, 6,
                ROW($1:$345)/(ISNUMBER(SEARCH('[1]Dettaglio pacchetti'!$AB$1:$AB$530, $C67))),
                1)
        ) &amp; "*",
        '[1]Dettaglio pacchetti'!$A$1:$I$530,
        9,
        FALSE
    ),
    IFERROR(VLOOKUP($C67, '[1]Dettaglio pacchetti'!$A$1:$I$530, 9, FALSE), "")
)</f>
        <v/>
      </c>
      <c r="N67" s="7"/>
      <c r="P67" s="6"/>
      <c r="AA67" t="str" cm="1">
        <f t="array" ref="AA67">IFERROR(VLOOKUP(INDEX('[1]Dettaglio pacchetti'!$AB$1:$AB$530, _xlfn.AGGREGATE(15, 6, (ROW($1:$345))/(ISNUMBER(SEARCH('[1]Dettaglio pacchetti'!$AB$1:$AB$530, $C67))), 1)) &amp; "*", '[1]Dettaglio pacchetti'!$A$1:$N$530, 13, FALSE) &amp; "", "")</f>
        <v/>
      </c>
      <c r="AB67" t="str" cm="1">
        <f t="array" ref="AB67">IF(ISNUMBER(SEARCH("dev.azure.com", AA67)), IFERROR(VLOOKUP(INDEX('[1]Dettaglio pacchetti'!$AB$1:$AB$530, _xlfn.AGGREGATE(15, 6, (ROW($1:$345))/(ISNUMBER(SEARCH('[1]Dettaglio pacchetti'!$AB$1:$AB$530, $C67))), 1)) &amp; "*", '[1]Dettaglio pacchetti'!$A$1:$N$530, 1, FALSE) &amp; "", ""), "")</f>
        <v/>
      </c>
      <c r="AC67" t="str" cm="1">
        <f t="array" ref="AC67">IFERROR(
    VLOOKUP(
        INDEX('[1]Dettaglio pacchetti'!$AB$1:$AB$530, _xlfn.AGGREGATE(15,6,ROW($1:$345)/(ISNUMBER(SEARCH('[1]Dettaglio pacchetti'!$AB$1:$AB$530,$C67))),1)) &amp; "*",
        '[1]Dettaglio pacchetti'!$A$1:$I$530,
        7,
        FALSE
    ),
    IFERROR(VLOOKUP($C67, '[1]Dettaglio pacchetti'!$A$1:$I$530, 7, FALSE), "")
)</f>
        <v/>
      </c>
      <c r="AD67" t="str" cm="1">
        <f t="array" ref="AD67">IFERROR(
    VLOOKUP(
        INDEX('[1]Dettaglio pacchetti'!$AB$1:$AB$530, _xlfn.AGGREGATE(15,6,ROW($1:$345)/(ISNUMBER(SEARCH('[1]Dettaglio pacchetti'!$AB$1:$AB$530,$C67))),1)) &amp; "*",
        '[1]Dettaglio pacchetti'!$A$1:$I$530,
        6,
        FALSE
    ),
    IFERROR(VLOOKUP($C67, '[1]Dettaglio pacchetti'!$A$1:$I$530, 6, FALSE), "")
)</f>
        <v/>
      </c>
    </row>
    <row r="68" spans="2:30" hidden="1" x14ac:dyDescent="0.3">
      <c r="B68" s="17"/>
      <c r="C68" s="14"/>
      <c r="D68" s="20" t="str" cm="1">
        <f t="array" ref="D68">IFERROR(
    _xlfn.LET(
        _xlpm.risultato,
        IFERROR(
            _xlfn.XLOOKUP(TRIM(UPPER(G68)),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pacchetti'!$E$1:$E$530))=TRIM(UPPER(G68)),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68" s="14" t="str" cm="1">
        <f t="array" ref="E68">IF(TRIM($B68)="SG-ANAGRAFE", "Bugni Batte",
    IF(TRIM($B68)="DW01A", "Cauda",
        IFERROR(
            VLOOKUP(
                INDEX('[1]Dettaglio pacchetti'!$AB$1:$AB$530,
                    _xlfn.AGGREGATE(15, 6,
                        (ROW($1:$345))/(ISNUMBER(SEARCH('[1]Dettaglio pacchetti'!$AB$1:$AB$530, $C68))),
                        1)
                ) &amp; "*",
                '[1]Dettaglio pacchetti'!$A$1:$I$530,
                3,
                FALSE
            ),
            IFERROR(VLOOKUP($C68, '[1]Dettaglio pacchetti'!$A$1:$I$530, 3, FALSE), "")
        )
    )
)</f>
        <v/>
      </c>
      <c r="F68" s="14" t="str" cm="1">
        <f t="array" ref="F68">IF(TRIM($B68)="DW01A", "ETL - EDW Estrattori",
    IFERROR(
        VLOOKUP(
            INDEX('[1]Dettaglio pacchetti'!$AB$1:$AB$530,
                _xlfn.AGGREGATE(15, 6,
                    (ROW($1:$345))/(ISNUMBER(SEARCH('[1]Dettaglio pacchetti'!$AB$1:$AB$530, $C68))),
                    1)
            ) &amp; "*",
            '[1]Dettaglio pacchetti'!$A$1:$I$530,
            4,
            FALSE
        ),
        IFERROR(VLOOKUP($C68, '[1]Dettaglio pacchetti'!$A$1:$I$530, 4, FALSE), "")
    )
)</f>
        <v/>
      </c>
      <c r="G68" s="14" t="str" cm="1">
        <f t="array" ref="G68">IF(TRIM($B68)="DW01A", "ETL - EDW Estrattori",
    IF(TRIM($B68)="SG-ANAGRAFE", "SIGEA Anagrafe",
        IFERROR(
            VLOOKUP(
                INDEX('[1]Dettaglio pacchetti'!$AB$1:$AB$530,
                    _xlfn.AGGREGATE(15, 6,
                        (ROW($1:$345))/(ISNUMBER(SEARCH('[1]Dettaglio pacchetti'!$AB$1:$AB$530, $C68))),
                        1)
                ) &amp; "*",
                '[1]Dettaglio pacchetti'!$A$1:$I$530,
                5,
                FALSE
            ),
            IFERROR(VLOOKUP($C68, '[1]Dettaglio pacchetti'!$A$1:$I$530, 5, FALSE), "")
        )
    )
)</f>
        <v/>
      </c>
      <c r="H68" s="14" t="str" cm="1">
        <f t="array" ref="H68">IFERROR(
    VLOOKUP(
        INDEX('[1]Dettaglio pacchetti'!$AB$1:$AB$530,
            _xlfn.AGGREGATE(15, 6,
                (ROW($1:$345))/(ISNUMBER(SEARCH('[1]Dettaglio pacchetti'!$AB$1:$AB$530, $C68))),
                1)
        ) &amp; "*",
        '[1]Dettaglio pacchetti'!$A$1:$I$530,
        6,
        FALSE
    ),
    IFERROR(VLOOKUP($C68, '[1]Dettaglio pacchetti'!$A$1:$I$530, 6, FALSE), "")
)</f>
        <v/>
      </c>
      <c r="I68" s="7" t="str">
        <f t="shared" si="6"/>
        <v/>
      </c>
      <c r="J68" t="str">
        <f t="shared" si="4"/>
        <v/>
      </c>
      <c r="K68" t="str">
        <f t="shared" si="5"/>
        <v/>
      </c>
      <c r="L68" s="14" t="str" cm="1">
        <f t="array" ref="L68">IFERROR(
    VLOOKUP(
        INDEX('[1]Dettaglio pacchetti'!$AB$1:$AB$530,
            _xlfn.AGGREGATE(15, 6,
                ROW($1:$345)/(ISNUMBER(SEARCH('[1]Dettaglio pacchetti'!$AB$1:$AB$530, $C68))),
                1)
        ) &amp; "*",
        '[1]Dettaglio pacchetti'!$A$1:$I$530,
        8,
        FALSE
    ),
    IFERROR(VLOOKUP($C68, '[1]Dettaglio pacchetti'!$A$1:$I$530, 8, FALSE), "")
)</f>
        <v/>
      </c>
      <c r="M68" s="14" t="str" cm="1">
        <f t="array" ref="M68">IFERROR(
    VLOOKUP(
        INDEX('[1]Dettaglio pacchetti'!$AB$1:$AB$530,
            _xlfn.AGGREGATE(15, 6,
                ROW($1:$345)/(ISNUMBER(SEARCH('[1]Dettaglio pacchetti'!$AB$1:$AB$530, $C68))),
                1)
        ) &amp; "*",
        '[1]Dettaglio pacchetti'!$A$1:$I$530,
        9,
        FALSE
    ),
    IFERROR(VLOOKUP($C68, '[1]Dettaglio pacchetti'!$A$1:$I$530, 9, FALSE), "")
)</f>
        <v/>
      </c>
      <c r="N68" s="7"/>
      <c r="P68" s="6"/>
      <c r="AA68" t="str" cm="1">
        <f t="array" ref="AA68">IFERROR(VLOOKUP(INDEX('[1]Dettaglio pacchetti'!$AB$1:$AB$530, _xlfn.AGGREGATE(15, 6, (ROW($1:$345))/(ISNUMBER(SEARCH('[1]Dettaglio pacchetti'!$AB$1:$AB$530, $C68))), 1)) &amp; "*", '[1]Dettaglio pacchetti'!$A$1:$N$530, 13, FALSE) &amp; "", "")</f>
        <v/>
      </c>
      <c r="AB68" t="str" cm="1">
        <f t="array" ref="AB68">IF(ISNUMBER(SEARCH("dev.azure.com", AA68)), IFERROR(VLOOKUP(INDEX('[1]Dettaglio pacchetti'!$AB$1:$AB$530, _xlfn.AGGREGATE(15, 6, (ROW($1:$345))/(ISNUMBER(SEARCH('[1]Dettaglio pacchetti'!$AB$1:$AB$530, $C68))), 1)) &amp; "*", '[1]Dettaglio pacchetti'!$A$1:$N$530, 1, FALSE) &amp; "", ""), "")</f>
        <v/>
      </c>
      <c r="AC68" t="str" cm="1">
        <f t="array" ref="AC68">IFERROR(
    VLOOKUP(
        INDEX('[1]Dettaglio pacchetti'!$AB$1:$AB$530, _xlfn.AGGREGATE(15,6,ROW($1:$345)/(ISNUMBER(SEARCH('[1]Dettaglio pacchetti'!$AB$1:$AB$530,$C68))),1)) &amp; "*",
        '[1]Dettaglio pacchetti'!$A$1:$I$530,
        7,
        FALSE
    ),
    IFERROR(VLOOKUP($C68, '[1]Dettaglio pacchetti'!$A$1:$I$530, 7, FALSE), "")
)</f>
        <v/>
      </c>
      <c r="AD68" t="str" cm="1">
        <f t="array" ref="AD68">IFERROR(
    VLOOKUP(
        INDEX('[1]Dettaglio pacchetti'!$AB$1:$AB$530, _xlfn.AGGREGATE(15,6,ROW($1:$345)/(ISNUMBER(SEARCH('[1]Dettaglio pacchetti'!$AB$1:$AB$530,$C68))),1)) &amp; "*",
        '[1]Dettaglio pacchetti'!$A$1:$I$530,
        6,
        FALSE
    ),
    IFERROR(VLOOKUP($C68, '[1]Dettaglio pacchetti'!$A$1:$I$530, 6, FALSE), "")
)</f>
        <v/>
      </c>
    </row>
    <row r="69" spans="2:30" hidden="1" x14ac:dyDescent="0.3">
      <c r="B69" s="17"/>
      <c r="C69" s="14"/>
      <c r="D69" s="20" t="str" cm="1">
        <f t="array" ref="D69">IFERROR(
    _xlfn.LET(
        _xlpm.risultato,
        IFERROR(
            _xlfn.XLOOKUP(TRIM(UPPER(G69)),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pacchetti'!$E$1:$E$530))=TRIM(UPPER(G69)),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69" s="14" t="str" cm="1">
        <f t="array" ref="E69">IF(TRIM($B69)="SG-ANAGRAFE", "Bugni Batte",
    IF(TRIM($B69)="DW01A", "Cauda",
        IFERROR(
            VLOOKUP(
                INDEX('[1]Dettaglio pacchetti'!$AB$1:$AB$530,
                    _xlfn.AGGREGATE(15, 6,
                        (ROW($1:$345))/(ISNUMBER(SEARCH('[1]Dettaglio pacchetti'!$AB$1:$AB$530, $C69))),
                        1)
                ) &amp; "*",
                '[1]Dettaglio pacchetti'!$A$1:$I$530,
                3,
                FALSE
            ),
            IFERROR(VLOOKUP($C69, '[1]Dettaglio pacchetti'!$A$1:$I$530, 3, FALSE), "")
        )
    )
)</f>
        <v/>
      </c>
      <c r="F69" s="14" t="str" cm="1">
        <f t="array" ref="F69">IF(TRIM($B69)="DW01A", "ETL - EDW Estrattori",
    IFERROR(
        VLOOKUP(
            INDEX('[1]Dettaglio pacchetti'!$AB$1:$AB$530,
                _xlfn.AGGREGATE(15, 6,
                    (ROW($1:$345))/(ISNUMBER(SEARCH('[1]Dettaglio pacchetti'!$AB$1:$AB$530, $C69))),
                    1)
            ) &amp; "*",
            '[1]Dettaglio pacchetti'!$A$1:$I$530,
            4,
            FALSE
        ),
        IFERROR(VLOOKUP($C69, '[1]Dettaglio pacchetti'!$A$1:$I$530, 4, FALSE), "")
    )
)</f>
        <v/>
      </c>
      <c r="G69" s="14" t="str" cm="1">
        <f t="array" ref="G69">IF(TRIM($B69)="DW01A", "ETL - EDW Estrattori",
    IF(TRIM($B69)="SG-ANAGRAFE", "SIGEA Anagrafe",
        IFERROR(
            VLOOKUP(
                INDEX('[1]Dettaglio pacchetti'!$AB$1:$AB$530,
                    _xlfn.AGGREGATE(15, 6,
                        (ROW($1:$345))/(ISNUMBER(SEARCH('[1]Dettaglio pacchetti'!$AB$1:$AB$530, $C69))),
                        1)
                ) &amp; "*",
                '[1]Dettaglio pacchetti'!$A$1:$I$530,
                5,
                FALSE
            ),
            IFERROR(VLOOKUP($C69, '[1]Dettaglio pacchetti'!$A$1:$I$530, 5, FALSE), "")
        )
    )
)</f>
        <v/>
      </c>
      <c r="H69" s="14" t="str" cm="1">
        <f t="array" ref="H69">IFERROR(
    VLOOKUP(
        INDEX('[1]Dettaglio pacchetti'!$AB$1:$AB$530,
            _xlfn.AGGREGATE(15, 6,
                (ROW($1:$345))/(ISNUMBER(SEARCH('[1]Dettaglio pacchetti'!$AB$1:$AB$530, $C69))),
                1)
        ) &amp; "*",
        '[1]Dettaglio pacchetti'!$A$1:$I$530,
        6,
        FALSE
    ),
    IFERROR(VLOOKUP($C69, '[1]Dettaglio pacchetti'!$A$1:$I$530, 6, FALSE), "")
)</f>
        <v/>
      </c>
      <c r="I69" s="7" t="str">
        <f t="shared" si="6"/>
        <v/>
      </c>
      <c r="J69" t="str">
        <f t="shared" si="4"/>
        <v/>
      </c>
      <c r="K69" t="str">
        <f t="shared" si="5"/>
        <v/>
      </c>
      <c r="L69" s="14" t="str" cm="1">
        <f t="array" ref="L69">IFERROR(
    VLOOKUP(
        INDEX('[1]Dettaglio pacchetti'!$AB$1:$AB$530,
            _xlfn.AGGREGATE(15, 6,
                ROW($1:$345)/(ISNUMBER(SEARCH('[1]Dettaglio pacchetti'!$AB$1:$AB$530, $C69))),
                1)
        ) &amp; "*",
        '[1]Dettaglio pacchetti'!$A$1:$I$530,
        8,
        FALSE
    ),
    IFERROR(VLOOKUP($C69, '[1]Dettaglio pacchetti'!$A$1:$I$530, 8, FALSE), "")
)</f>
        <v/>
      </c>
      <c r="M69" s="14" t="str" cm="1">
        <f t="array" ref="M69">IFERROR(
    VLOOKUP(
        INDEX('[1]Dettaglio pacchetti'!$AB$1:$AB$530,
            _xlfn.AGGREGATE(15, 6,
                ROW($1:$345)/(ISNUMBER(SEARCH('[1]Dettaglio pacchetti'!$AB$1:$AB$530, $C69))),
                1)
        ) &amp; "*",
        '[1]Dettaglio pacchetti'!$A$1:$I$530,
        9,
        FALSE
    ),
    IFERROR(VLOOKUP($C69, '[1]Dettaglio pacchetti'!$A$1:$I$530, 9, FALSE), "")
)</f>
        <v/>
      </c>
      <c r="N69" s="7"/>
      <c r="P69" s="6"/>
      <c r="AA69" t="str" cm="1">
        <f t="array" ref="AA69">IFERROR(VLOOKUP(INDEX('[1]Dettaglio pacchetti'!$AB$1:$AB$530, _xlfn.AGGREGATE(15, 6, (ROW($1:$345))/(ISNUMBER(SEARCH('[1]Dettaglio pacchetti'!$AB$1:$AB$530, $C69))), 1)) &amp; "*", '[1]Dettaglio pacchetti'!$A$1:$N$530, 13, FALSE) &amp; "", "")</f>
        <v/>
      </c>
      <c r="AB69" t="str" cm="1">
        <f t="array" ref="AB69">IF(ISNUMBER(SEARCH("dev.azure.com", AA69)), IFERROR(VLOOKUP(INDEX('[1]Dettaglio pacchetti'!$AB$1:$AB$530, _xlfn.AGGREGATE(15, 6, (ROW($1:$345))/(ISNUMBER(SEARCH('[1]Dettaglio pacchetti'!$AB$1:$AB$530, $C69))), 1)) &amp; "*", '[1]Dettaglio pacchetti'!$A$1:$N$530, 1, FALSE) &amp; "", ""), "")</f>
        <v/>
      </c>
      <c r="AC69" t="str" cm="1">
        <f t="array" ref="AC69">IFERROR(
    VLOOKUP(
        INDEX('[1]Dettaglio pacchetti'!$AB$1:$AB$530, _xlfn.AGGREGATE(15,6,ROW($1:$345)/(ISNUMBER(SEARCH('[1]Dettaglio pacchetti'!$AB$1:$AB$530,$C69))),1)) &amp; "*",
        '[1]Dettaglio pacchetti'!$A$1:$I$530,
        7,
        FALSE
    ),
    IFERROR(VLOOKUP($C69, '[1]Dettaglio pacchetti'!$A$1:$I$530, 7, FALSE), "")
)</f>
        <v/>
      </c>
      <c r="AD69" t="str" cm="1">
        <f t="array" ref="AD69">IFERROR(
    VLOOKUP(
        INDEX('[1]Dettaglio pacchetti'!$AB$1:$AB$530, _xlfn.AGGREGATE(15,6,ROW($1:$345)/(ISNUMBER(SEARCH('[1]Dettaglio pacchetti'!$AB$1:$AB$530,$C69))),1)) &amp; "*",
        '[1]Dettaglio pacchetti'!$A$1:$I$530,
        6,
        FALSE
    ),
    IFERROR(VLOOKUP($C69, '[1]Dettaglio pacchetti'!$A$1:$I$530, 6, FALSE), "")
)</f>
        <v/>
      </c>
    </row>
    <row r="70" spans="2:30" hidden="1" x14ac:dyDescent="0.3">
      <c r="B70" s="17"/>
      <c r="C70" s="14"/>
      <c r="D70" s="20" t="str" cm="1">
        <f t="array" ref="D70">IFERROR(
    _xlfn.LET(
        _xlpm.risultato,
        IFERROR(
            _xlfn.XLOOKUP(TRIM(UPPER(G70)),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pacchetti'!$E$1:$E$530))=TRIM(UPPER(G70)),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70" s="14" t="str" cm="1">
        <f t="array" ref="E70">IF(TRIM($B70)="SG-ANAGRAFE", "Bugni Batte",
    IF(TRIM($B70)="DW01A", "Cauda",
        IFERROR(
            VLOOKUP(
                INDEX('[1]Dettaglio pacchetti'!$AB$1:$AB$530,
                    _xlfn.AGGREGATE(15, 6,
                        (ROW($1:$345))/(ISNUMBER(SEARCH('[1]Dettaglio pacchetti'!$AB$1:$AB$530, $C70))),
                        1)
                ) &amp; "*",
                '[1]Dettaglio pacchetti'!$A$1:$I$530,
                3,
                FALSE
            ),
            IFERROR(VLOOKUP($C70, '[1]Dettaglio pacchetti'!$A$1:$I$530, 3, FALSE), "")
        )
    )
)</f>
        <v/>
      </c>
      <c r="F70" s="14" t="str" cm="1">
        <f t="array" ref="F70">IF(TRIM($B70)="DW01A", "ETL - EDW Estrattori",
    IFERROR(
        VLOOKUP(
            INDEX('[1]Dettaglio pacchetti'!$AB$1:$AB$530,
                _xlfn.AGGREGATE(15, 6,
                    (ROW($1:$345))/(ISNUMBER(SEARCH('[1]Dettaglio pacchetti'!$AB$1:$AB$530, $C70))),
                    1)
            ) &amp; "*",
            '[1]Dettaglio pacchetti'!$A$1:$I$530,
            4,
            FALSE
        ),
        IFERROR(VLOOKUP($C70, '[1]Dettaglio pacchetti'!$A$1:$I$530, 4, FALSE), "")
    )
)</f>
        <v/>
      </c>
      <c r="G70" s="14" t="str" cm="1">
        <f t="array" ref="G70">IF(TRIM($B70)="DW01A", "ETL - EDW Estrattori",
    IF(TRIM($B70)="SG-ANAGRAFE", "SIGEA Anagrafe",
        IFERROR(
            VLOOKUP(
                INDEX('[1]Dettaglio pacchetti'!$AB$1:$AB$530,
                    _xlfn.AGGREGATE(15, 6,
                        (ROW($1:$345))/(ISNUMBER(SEARCH('[1]Dettaglio pacchetti'!$AB$1:$AB$530, $C70))),
                        1)
                ) &amp; "*",
                '[1]Dettaglio pacchetti'!$A$1:$I$530,
                5,
                FALSE
            ),
            IFERROR(VLOOKUP($C70, '[1]Dettaglio pacchetti'!$A$1:$I$530, 5, FALSE), "")
        )
    )
)</f>
        <v/>
      </c>
      <c r="H70" s="14" t="str" cm="1">
        <f t="array" ref="H70">IFERROR(
    VLOOKUP(
        INDEX('[1]Dettaglio pacchetti'!$AB$1:$AB$530,
            _xlfn.AGGREGATE(15, 6,
                (ROW($1:$345))/(ISNUMBER(SEARCH('[1]Dettaglio pacchetti'!$AB$1:$AB$530, $C70))),
                1)
        ) &amp; "*",
        '[1]Dettaglio pacchetti'!$A$1:$I$530,
        6,
        FALSE
    ),
    IFERROR(VLOOKUP($C70, '[1]Dettaglio pacchetti'!$A$1:$I$530, 6, FALSE), "")
)</f>
        <v/>
      </c>
      <c r="I70" s="7" t="str">
        <f t="shared" si="6"/>
        <v/>
      </c>
      <c r="J70" t="str">
        <f t="shared" si="4"/>
        <v/>
      </c>
      <c r="K70" t="str">
        <f t="shared" si="5"/>
        <v/>
      </c>
      <c r="L70" s="14" t="str" cm="1">
        <f t="array" ref="L70">IFERROR(
    VLOOKUP(
        INDEX('[1]Dettaglio pacchetti'!$AB$1:$AB$530,
            _xlfn.AGGREGATE(15, 6,
                ROW($1:$345)/(ISNUMBER(SEARCH('[1]Dettaglio pacchetti'!$AB$1:$AB$530, $C70))),
                1)
        ) &amp; "*",
        '[1]Dettaglio pacchetti'!$A$1:$I$530,
        8,
        FALSE
    ),
    IFERROR(VLOOKUP($C70, '[1]Dettaglio pacchetti'!$A$1:$I$530, 8, FALSE), "")
)</f>
        <v/>
      </c>
      <c r="M70" s="14" t="str" cm="1">
        <f t="array" ref="M70">IFERROR(
    VLOOKUP(
        INDEX('[1]Dettaglio pacchetti'!$AB$1:$AB$530,
            _xlfn.AGGREGATE(15, 6,
                ROW($1:$345)/(ISNUMBER(SEARCH('[1]Dettaglio pacchetti'!$AB$1:$AB$530, $C70))),
                1)
        ) &amp; "*",
        '[1]Dettaglio pacchetti'!$A$1:$I$530,
        9,
        FALSE
    ),
    IFERROR(VLOOKUP($C70, '[1]Dettaglio pacchetti'!$A$1:$I$530, 9, FALSE), "")
)</f>
        <v/>
      </c>
      <c r="N70" s="7"/>
      <c r="P70" s="6"/>
      <c r="AA70" t="str" cm="1">
        <f t="array" ref="AA70">IFERROR(VLOOKUP(INDEX('[1]Dettaglio pacchetti'!$AB$1:$AB$530, _xlfn.AGGREGATE(15, 6, (ROW($1:$345))/(ISNUMBER(SEARCH('[1]Dettaglio pacchetti'!$AB$1:$AB$530, $C70))), 1)) &amp; "*", '[1]Dettaglio pacchetti'!$A$1:$N$530, 13, FALSE) &amp; "", "")</f>
        <v/>
      </c>
      <c r="AB70" t="str" cm="1">
        <f t="array" ref="AB70">IF(ISNUMBER(SEARCH("dev.azure.com", AA70)), IFERROR(VLOOKUP(INDEX('[1]Dettaglio pacchetti'!$AB$1:$AB$530, _xlfn.AGGREGATE(15, 6, (ROW($1:$345))/(ISNUMBER(SEARCH('[1]Dettaglio pacchetti'!$AB$1:$AB$530, $C70))), 1)) &amp; "*", '[1]Dettaglio pacchetti'!$A$1:$N$530, 1, FALSE) &amp; "", ""), "")</f>
        <v/>
      </c>
      <c r="AC70" t="str" cm="1">
        <f t="array" ref="AC70">IFERROR(
    VLOOKUP(
        INDEX('[1]Dettaglio pacchetti'!$AB$1:$AB$530, _xlfn.AGGREGATE(15,6,ROW($1:$345)/(ISNUMBER(SEARCH('[1]Dettaglio pacchetti'!$AB$1:$AB$530,$C70))),1)) &amp; "*",
        '[1]Dettaglio pacchetti'!$A$1:$I$530,
        7,
        FALSE
    ),
    IFERROR(VLOOKUP($C70, '[1]Dettaglio pacchetti'!$A$1:$I$530, 7, FALSE), "")
)</f>
        <v/>
      </c>
      <c r="AD70" t="str" cm="1">
        <f t="array" ref="AD70">IFERROR(
    VLOOKUP(
        INDEX('[1]Dettaglio pacchetti'!$AB$1:$AB$530, _xlfn.AGGREGATE(15,6,ROW($1:$345)/(ISNUMBER(SEARCH('[1]Dettaglio pacchetti'!$AB$1:$AB$530,$C70))),1)) &amp; "*",
        '[1]Dettaglio pacchetti'!$A$1:$I$530,
        6,
        FALSE
    ),
    IFERROR(VLOOKUP($C70, '[1]Dettaglio pacchetti'!$A$1:$I$530, 6, FALSE), "")
)</f>
        <v/>
      </c>
    </row>
    <row r="71" spans="2:30" hidden="1" x14ac:dyDescent="0.3">
      <c r="B71" s="17"/>
      <c r="C71" s="14"/>
      <c r="D71" s="20" t="str" cm="1">
        <f t="array" ref="D71">IFERROR(
    _xlfn.LET(
        _xlpm.risultato,
        IFERROR(
            _xlfn.XLOOKUP(TRIM(UPPER(G71)),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pacchetti'!$E$1:$E$530))=TRIM(UPPER(G71)),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71" s="14" t="str" cm="1">
        <f t="array" ref="E71">IF(TRIM($B71)="SG-ANAGRAFE", "Bugni Batte",
    IF(TRIM($B71)="DW01A", "Cauda",
        IFERROR(
            VLOOKUP(
                INDEX('[1]Dettaglio pacchetti'!$AB$1:$AB$530,
                    _xlfn.AGGREGATE(15, 6,
                        (ROW($1:$345))/(ISNUMBER(SEARCH('[1]Dettaglio pacchetti'!$AB$1:$AB$530, $C71))),
                        1)
                ) &amp; "*",
                '[1]Dettaglio pacchetti'!$A$1:$I$530,
                3,
                FALSE
            ),
            IFERROR(VLOOKUP($C71, '[1]Dettaglio pacchetti'!$A$1:$I$530, 3, FALSE), "")
        )
    )
)</f>
        <v/>
      </c>
      <c r="F71" s="14" t="str" cm="1">
        <f t="array" ref="F71">IF(TRIM($B71)="DW01A", "ETL - EDW Estrattori",
    IFERROR(
        VLOOKUP(
            INDEX('[1]Dettaglio pacchetti'!$AB$1:$AB$530,
                _xlfn.AGGREGATE(15, 6,
                    (ROW($1:$345))/(ISNUMBER(SEARCH('[1]Dettaglio pacchetti'!$AB$1:$AB$530, $C71))),
                    1)
            ) &amp; "*",
            '[1]Dettaglio pacchetti'!$A$1:$I$530,
            4,
            FALSE
        ),
        IFERROR(VLOOKUP($C71, '[1]Dettaglio pacchetti'!$A$1:$I$530, 4, FALSE), "")
    )
)</f>
        <v/>
      </c>
      <c r="G71" s="14" t="str" cm="1">
        <f t="array" ref="G71">IF(TRIM($B71)="DW01A", "ETL - EDW Estrattori",
    IF(TRIM($B71)="SG-ANAGRAFE", "SIGEA Anagrafe",
        IFERROR(
            VLOOKUP(
                INDEX('[1]Dettaglio pacchetti'!$AB$1:$AB$530,
                    _xlfn.AGGREGATE(15, 6,
                        (ROW($1:$345))/(ISNUMBER(SEARCH('[1]Dettaglio pacchetti'!$AB$1:$AB$530, $C71))),
                        1)
                ) &amp; "*",
                '[1]Dettaglio pacchetti'!$A$1:$I$530,
                5,
                FALSE
            ),
            IFERROR(VLOOKUP($C71, '[1]Dettaglio pacchetti'!$A$1:$I$530, 5, FALSE), "")
        )
    )
)</f>
        <v/>
      </c>
      <c r="H71" s="14" t="str" cm="1">
        <f t="array" ref="H71">IFERROR(
    VLOOKUP(
        INDEX('[1]Dettaglio pacchetti'!$AB$1:$AB$530,
            _xlfn.AGGREGATE(15, 6,
                (ROW($1:$345))/(ISNUMBER(SEARCH('[1]Dettaglio pacchetti'!$AB$1:$AB$530, $C71))),
                1)
        ) &amp; "*",
        '[1]Dettaglio pacchetti'!$A$1:$I$530,
        6,
        FALSE
    ),
    IFERROR(VLOOKUP($C71, '[1]Dettaglio pacchetti'!$A$1:$I$530, 6, FALSE), "")
)</f>
        <v/>
      </c>
      <c r="I71" s="7" t="str">
        <f t="shared" si="6"/>
        <v/>
      </c>
      <c r="J71" t="str">
        <f t="shared" si="4"/>
        <v/>
      </c>
      <c r="K71" t="str">
        <f t="shared" si="5"/>
        <v/>
      </c>
      <c r="L71" s="14" t="str" cm="1">
        <f t="array" ref="L71">IFERROR(
    VLOOKUP(
        INDEX('[1]Dettaglio pacchetti'!$AB$1:$AB$530,
            _xlfn.AGGREGATE(15, 6,
                ROW($1:$345)/(ISNUMBER(SEARCH('[1]Dettaglio pacchetti'!$AB$1:$AB$530, $C71))),
                1)
        ) &amp; "*",
        '[1]Dettaglio pacchetti'!$A$1:$I$530,
        8,
        FALSE
    ),
    IFERROR(VLOOKUP($C71, '[1]Dettaglio pacchetti'!$A$1:$I$530, 8, FALSE), "")
)</f>
        <v/>
      </c>
      <c r="M71" s="14" t="str" cm="1">
        <f t="array" ref="M71">IFERROR(
    VLOOKUP(
        INDEX('[1]Dettaglio pacchetti'!$AB$1:$AB$530,
            _xlfn.AGGREGATE(15, 6,
                ROW($1:$345)/(ISNUMBER(SEARCH('[1]Dettaglio pacchetti'!$AB$1:$AB$530, $C71))),
                1)
        ) &amp; "*",
        '[1]Dettaglio pacchetti'!$A$1:$I$530,
        9,
        FALSE
    ),
    IFERROR(VLOOKUP($C71, '[1]Dettaglio pacchetti'!$A$1:$I$530, 9, FALSE), "")
)</f>
        <v/>
      </c>
      <c r="N71" s="7"/>
      <c r="P71" s="6"/>
      <c r="U71" t="s">
        <v>16</v>
      </c>
      <c r="AA71" t="str" cm="1">
        <f t="array" ref="AA71">IFERROR(VLOOKUP(INDEX('[1]Dettaglio pacchetti'!$AB$1:$AB$530, _xlfn.AGGREGATE(15, 6, (ROW($1:$345))/(ISNUMBER(SEARCH('[1]Dettaglio pacchetti'!$AB$1:$AB$530, $C71))), 1)) &amp; "*", '[1]Dettaglio pacchetti'!$A$1:$N$530, 13, FALSE) &amp; "", "")</f>
        <v/>
      </c>
      <c r="AB71" t="str" cm="1">
        <f t="array" ref="AB71">IF(ISNUMBER(SEARCH("dev.azure.com", AA71)), IFERROR(VLOOKUP(INDEX('[1]Dettaglio pacchetti'!$AB$1:$AB$530, _xlfn.AGGREGATE(15, 6, (ROW($1:$345))/(ISNUMBER(SEARCH('[1]Dettaglio pacchetti'!$AB$1:$AB$530, $C71))), 1)) &amp; "*", '[1]Dettaglio pacchetti'!$A$1:$N$530, 1, FALSE) &amp; "", ""), "")</f>
        <v/>
      </c>
      <c r="AC71" t="str" cm="1">
        <f t="array" ref="AC71">IFERROR(
    VLOOKUP(
        INDEX('[1]Dettaglio pacchetti'!$AB$1:$AB$530, _xlfn.AGGREGATE(15,6,ROW($1:$345)/(ISNUMBER(SEARCH('[1]Dettaglio pacchetti'!$AB$1:$AB$530,$C71))),1)) &amp; "*",
        '[1]Dettaglio pacchetti'!$A$1:$I$530,
        7,
        FALSE
    ),
    IFERROR(VLOOKUP($C71, '[1]Dettaglio pacchetti'!$A$1:$I$530, 7, FALSE), "")
)</f>
        <v/>
      </c>
      <c r="AD71" t="str" cm="1">
        <f t="array" ref="AD71">IFERROR(
    VLOOKUP(
        INDEX('[1]Dettaglio pacchetti'!$AB$1:$AB$530, _xlfn.AGGREGATE(15,6,ROW($1:$345)/(ISNUMBER(SEARCH('[1]Dettaglio pacchetti'!$AB$1:$AB$530,$C71))),1)) &amp; "*",
        '[1]Dettaglio pacchetti'!$A$1:$I$530,
        6,
        FALSE
    ),
    IFERROR(VLOOKUP($C71, '[1]Dettaglio pacchetti'!$A$1:$I$530, 6, FALSE), "")
)</f>
        <v/>
      </c>
    </row>
    <row r="72" spans="2:30" hidden="1" x14ac:dyDescent="0.3">
      <c r="B72" s="17"/>
      <c r="C72" s="14"/>
      <c r="D72" s="20" t="str" cm="1">
        <f t="array" ref="D72">IFERROR(
    _xlfn.LET(
        _xlpm.risultato,
        IFERROR(
            _xlfn.XLOOKUP(TRIM(UPPER(G72)),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pacchetti'!$E$1:$E$530))=TRIM(UPPER(G72)),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72" s="14" t="str" cm="1">
        <f t="array" ref="E72">IF(TRIM($B72)="SG-ANAGRAFE", "Bugni Batte",
    IF(TRIM($B72)="DW01A", "Cauda",
        IFERROR(
            VLOOKUP(
                INDEX('[1]Dettaglio pacchetti'!$AB$1:$AB$530,
                    _xlfn.AGGREGATE(15, 6,
                        (ROW($1:$345))/(ISNUMBER(SEARCH('[1]Dettaglio pacchetti'!$AB$1:$AB$530, $C72))),
                        1)
                ) &amp; "*",
                '[1]Dettaglio pacchetti'!$A$1:$I$530,
                3,
                FALSE
            ),
            IFERROR(VLOOKUP($C72, '[1]Dettaglio pacchetti'!$A$1:$I$530, 3, FALSE), "")
        )
    )
)</f>
        <v/>
      </c>
      <c r="F72" s="14" t="str" cm="1">
        <f t="array" ref="F72">IF(TRIM($B72)="DW01A", "ETL - EDW Estrattori",
    IFERROR(
        VLOOKUP(
            INDEX('[1]Dettaglio pacchetti'!$AB$1:$AB$530,
                _xlfn.AGGREGATE(15, 6,
                    (ROW($1:$345))/(ISNUMBER(SEARCH('[1]Dettaglio pacchetti'!$AB$1:$AB$530, $C72))),
                    1)
            ) &amp; "*",
            '[1]Dettaglio pacchetti'!$A$1:$I$530,
            4,
            FALSE
        ),
        IFERROR(VLOOKUP($C72, '[1]Dettaglio pacchetti'!$A$1:$I$530, 4, FALSE), "")
    )
)</f>
        <v/>
      </c>
      <c r="G72" s="14" t="str" cm="1">
        <f t="array" ref="G72">IF(TRIM($B72)="DW01A", "ETL - EDW Estrattori",
    IF(TRIM($B72)="SG-ANAGRAFE", "SIGEA Anagrafe",
        IFERROR(
            VLOOKUP(
                INDEX('[1]Dettaglio pacchetti'!$AB$1:$AB$530,
                    _xlfn.AGGREGATE(15, 6,
                        (ROW($1:$345))/(ISNUMBER(SEARCH('[1]Dettaglio pacchetti'!$AB$1:$AB$530, $C72))),
                        1)
                ) &amp; "*",
                '[1]Dettaglio pacchetti'!$A$1:$I$530,
                5,
                FALSE
            ),
            IFERROR(VLOOKUP($C72, '[1]Dettaglio pacchetti'!$A$1:$I$530, 5, FALSE), "")
        )
    )
)</f>
        <v/>
      </c>
      <c r="H72" s="14" t="str" cm="1">
        <f t="array" ref="H72">IFERROR(
    VLOOKUP(
        INDEX('[1]Dettaglio pacchetti'!$AB$1:$AB$530,
            _xlfn.AGGREGATE(15, 6,
                (ROW($1:$345))/(ISNUMBER(SEARCH('[1]Dettaglio pacchetti'!$AB$1:$AB$530, $C72))),
                1)
        ) &amp; "*",
        '[1]Dettaglio pacchetti'!$A$1:$I$530,
        6,
        FALSE
    ),
    IFERROR(VLOOKUP($C72, '[1]Dettaglio pacchetti'!$A$1:$I$530, 6, FALSE), "")
)</f>
        <v/>
      </c>
      <c r="I72" s="7" t="str">
        <f t="shared" si="6"/>
        <v/>
      </c>
      <c r="J72" t="str">
        <f t="shared" si="4"/>
        <v/>
      </c>
      <c r="K72" t="str">
        <f t="shared" si="5"/>
        <v/>
      </c>
      <c r="L72" s="14" t="str" cm="1">
        <f t="array" ref="L72">IFERROR(
    VLOOKUP(
        INDEX('[1]Dettaglio pacchetti'!$AB$1:$AB$530,
            _xlfn.AGGREGATE(15, 6,
                ROW($1:$345)/(ISNUMBER(SEARCH('[1]Dettaglio pacchetti'!$AB$1:$AB$530, $C72))),
                1)
        ) &amp; "*",
        '[1]Dettaglio pacchetti'!$A$1:$I$530,
        8,
        FALSE
    ),
    IFERROR(VLOOKUP($C72, '[1]Dettaglio pacchetti'!$A$1:$I$530, 8, FALSE), "")
)</f>
        <v/>
      </c>
      <c r="M72" s="14" t="str" cm="1">
        <f t="array" ref="M72">IFERROR(
    VLOOKUP(
        INDEX('[1]Dettaglio pacchetti'!$AB$1:$AB$530,
            _xlfn.AGGREGATE(15, 6,
                ROW($1:$345)/(ISNUMBER(SEARCH('[1]Dettaglio pacchetti'!$AB$1:$AB$530, $C72))),
                1)
        ) &amp; "*",
        '[1]Dettaglio pacchetti'!$A$1:$I$530,
        9,
        FALSE
    ),
    IFERROR(VLOOKUP($C72, '[1]Dettaglio pacchetti'!$A$1:$I$530, 9, FALSE), "")
)</f>
        <v/>
      </c>
      <c r="N72" s="7"/>
      <c r="P72" s="6"/>
      <c r="T72" t="s">
        <v>16</v>
      </c>
      <c r="AA72" t="str" cm="1">
        <f t="array" ref="AA72">IFERROR(VLOOKUP(INDEX('[1]Dettaglio pacchetti'!$AB$1:$AB$530, _xlfn.AGGREGATE(15, 6, (ROW($1:$345))/(ISNUMBER(SEARCH('[1]Dettaglio pacchetti'!$AB$1:$AB$530, $C72))), 1)) &amp; "*", '[1]Dettaglio pacchetti'!$A$1:$N$530, 13, FALSE) &amp; "", "")</f>
        <v/>
      </c>
      <c r="AB72" t="str" cm="1">
        <f t="array" ref="AB72">IF(ISNUMBER(SEARCH("dev.azure.com", AA72)), IFERROR(VLOOKUP(INDEX('[1]Dettaglio pacchetti'!$AB$1:$AB$530, _xlfn.AGGREGATE(15, 6, (ROW($1:$345))/(ISNUMBER(SEARCH('[1]Dettaglio pacchetti'!$AB$1:$AB$530, $C72))), 1)) &amp; "*", '[1]Dettaglio pacchetti'!$A$1:$N$530, 1, FALSE) &amp; "", ""), "")</f>
        <v/>
      </c>
      <c r="AC72" t="str" cm="1">
        <f t="array" ref="AC72">IFERROR(
    VLOOKUP(
        INDEX('[1]Dettaglio pacchetti'!$AB$1:$AB$530, _xlfn.AGGREGATE(15,6,ROW($1:$345)/(ISNUMBER(SEARCH('[1]Dettaglio pacchetti'!$AB$1:$AB$530,$C72))),1)) &amp; "*",
        '[1]Dettaglio pacchetti'!$A$1:$I$530,
        7,
        FALSE
    ),
    IFERROR(VLOOKUP($C72, '[1]Dettaglio pacchetti'!$A$1:$I$530, 7, FALSE), "")
)</f>
        <v/>
      </c>
      <c r="AD72" t="str" cm="1">
        <f t="array" ref="AD72">IFERROR(
    VLOOKUP(
        INDEX('[1]Dettaglio pacchetti'!$AB$1:$AB$530, _xlfn.AGGREGATE(15,6,ROW($1:$345)/(ISNUMBER(SEARCH('[1]Dettaglio pacchetti'!$AB$1:$AB$530,$C72))),1)) &amp; "*",
        '[1]Dettaglio pacchetti'!$A$1:$I$530,
        6,
        FALSE
    ),
    IFERROR(VLOOKUP($C72, '[1]Dettaglio pacchetti'!$A$1:$I$530, 6, FALSE), "")
)</f>
        <v/>
      </c>
    </row>
    <row r="73" spans="2:30" hidden="1" x14ac:dyDescent="0.3">
      <c r="B73" s="17"/>
      <c r="C73" s="14"/>
      <c r="D73" s="20" t="str" cm="1">
        <f t="array" ref="D73">IFERROR(
    _xlfn.LET(
        _xlpm.risultato,
        IFERROR(
            _xlfn.XLOOKUP(TRIM(UPPER(G73)),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pacchetti'!$E$1:$E$530))=TRIM(UPPER(G73)),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73" s="14" t="str" cm="1">
        <f t="array" ref="E73">IF(TRIM($B73)="SG-ANAGRAFE", "Bugni Batte",
    IF(TRIM($B73)="DW01A", "Cauda",
        IFERROR(
            VLOOKUP(
                INDEX('[1]Dettaglio pacchetti'!$AB$1:$AB$530,
                    _xlfn.AGGREGATE(15, 6,
                        (ROW($1:$345))/(ISNUMBER(SEARCH('[1]Dettaglio pacchetti'!$AB$1:$AB$530, $C73))),
                        1)
                ) &amp; "*",
                '[1]Dettaglio pacchetti'!$A$1:$I$530,
                3,
                FALSE
            ),
            IFERROR(VLOOKUP($C73, '[1]Dettaglio pacchetti'!$A$1:$I$530, 3, FALSE), "")
        )
    )
)</f>
        <v/>
      </c>
      <c r="F73" s="14" t="str" cm="1">
        <f t="array" ref="F73">IF(TRIM($B73)="DW01A", "ETL - EDW Estrattori",
    IFERROR(
        VLOOKUP(
            INDEX('[1]Dettaglio pacchetti'!$AB$1:$AB$530,
                _xlfn.AGGREGATE(15, 6,
                    (ROW($1:$345))/(ISNUMBER(SEARCH('[1]Dettaglio pacchetti'!$AB$1:$AB$530, $C73))),
                    1)
            ) &amp; "*",
            '[1]Dettaglio pacchetti'!$A$1:$I$530,
            4,
            FALSE
        ),
        IFERROR(VLOOKUP($C73, '[1]Dettaglio pacchetti'!$A$1:$I$530, 4, FALSE), "")
    )
)</f>
        <v/>
      </c>
      <c r="G73" s="14" t="str" cm="1">
        <f t="array" ref="G73">IF(TRIM($B73)="DW01A", "ETL - EDW Estrattori",
    IF(TRIM($B73)="SG-ANAGRAFE", "SIGEA Anagrafe",
        IFERROR(
            VLOOKUP(
                INDEX('[1]Dettaglio pacchetti'!$AB$1:$AB$530,
                    _xlfn.AGGREGATE(15, 6,
                        (ROW($1:$345))/(ISNUMBER(SEARCH('[1]Dettaglio pacchetti'!$AB$1:$AB$530, $C73))),
                        1)
                ) &amp; "*",
                '[1]Dettaglio pacchetti'!$A$1:$I$530,
                5,
                FALSE
            ),
            IFERROR(VLOOKUP($C73, '[1]Dettaglio pacchetti'!$A$1:$I$530, 5, FALSE), "")
        )
    )
)</f>
        <v/>
      </c>
      <c r="H73" s="14" t="str" cm="1">
        <f t="array" ref="H73">IFERROR(
    VLOOKUP(
        INDEX('[1]Dettaglio pacchetti'!$AB$1:$AB$530,
            _xlfn.AGGREGATE(15, 6,
                (ROW($1:$345))/(ISNUMBER(SEARCH('[1]Dettaglio pacchetti'!$AB$1:$AB$530, $C73))),
                1)
        ) &amp; "*",
        '[1]Dettaglio pacchetti'!$A$1:$I$530,
        6,
        FALSE
    ),
    IFERROR(VLOOKUP($C73, '[1]Dettaglio pacchetti'!$A$1:$I$530, 6, FALSE), "")
)</f>
        <v/>
      </c>
      <c r="I73" s="7" t="str">
        <f t="shared" si="6"/>
        <v/>
      </c>
      <c r="J73" t="str">
        <f t="shared" si="4"/>
        <v/>
      </c>
      <c r="K73" t="str">
        <f t="shared" si="5"/>
        <v/>
      </c>
      <c r="L73" s="14" t="str" cm="1">
        <f t="array" ref="L73">IFERROR(
    VLOOKUP(
        INDEX('[1]Dettaglio pacchetti'!$AB$1:$AB$530,
            _xlfn.AGGREGATE(15, 6,
                ROW($1:$345)/(ISNUMBER(SEARCH('[1]Dettaglio pacchetti'!$AB$1:$AB$530, $C73))),
                1)
        ) &amp; "*",
        '[1]Dettaglio pacchetti'!$A$1:$I$530,
        8,
        FALSE
    ),
    IFERROR(VLOOKUP($C73, '[1]Dettaglio pacchetti'!$A$1:$I$530, 8, FALSE), "")
)</f>
        <v/>
      </c>
      <c r="M73" s="14" t="str" cm="1">
        <f t="array" ref="M73">IFERROR(
    VLOOKUP(
        INDEX('[1]Dettaglio pacchetti'!$AB$1:$AB$530,
            _xlfn.AGGREGATE(15, 6,
                ROW($1:$345)/(ISNUMBER(SEARCH('[1]Dettaglio pacchetti'!$AB$1:$AB$530, $C73))),
                1)
        ) &amp; "*",
        '[1]Dettaglio pacchetti'!$A$1:$I$530,
        9,
        FALSE
    ),
    IFERROR(VLOOKUP($C73, '[1]Dettaglio pacchetti'!$A$1:$I$530, 9, FALSE), "")
)</f>
        <v/>
      </c>
      <c r="N73" s="7"/>
      <c r="P73" s="6"/>
      <c r="AA73" t="str" cm="1">
        <f t="array" ref="AA73">IFERROR(VLOOKUP(INDEX('[1]Dettaglio pacchetti'!$AB$1:$AB$530, _xlfn.AGGREGATE(15, 6, (ROW($1:$345))/(ISNUMBER(SEARCH('[1]Dettaglio pacchetti'!$AB$1:$AB$530, $C73))), 1)) &amp; "*", '[1]Dettaglio pacchetti'!$A$1:$N$530, 13, FALSE) &amp; "", "")</f>
        <v/>
      </c>
      <c r="AB73" t="str" cm="1">
        <f t="array" ref="AB73">IF(ISNUMBER(SEARCH("dev.azure.com", AA73)), IFERROR(VLOOKUP(INDEX('[1]Dettaglio pacchetti'!$AB$1:$AB$530, _xlfn.AGGREGATE(15, 6, (ROW($1:$345))/(ISNUMBER(SEARCH('[1]Dettaglio pacchetti'!$AB$1:$AB$530, $C73))), 1)) &amp; "*", '[1]Dettaglio pacchetti'!$A$1:$N$530, 1, FALSE) &amp; "", ""), "")</f>
        <v/>
      </c>
      <c r="AC73" t="str" cm="1">
        <f t="array" ref="AC73">IFERROR(
    VLOOKUP(
        INDEX('[1]Dettaglio pacchetti'!$AB$1:$AB$530, _xlfn.AGGREGATE(15,6,ROW($1:$345)/(ISNUMBER(SEARCH('[1]Dettaglio pacchetti'!$AB$1:$AB$530,$C73))),1)) &amp; "*",
        '[1]Dettaglio pacchetti'!$A$1:$I$530,
        7,
        FALSE
    ),
    IFERROR(VLOOKUP($C73, '[1]Dettaglio pacchetti'!$A$1:$I$530, 7, FALSE), "")
)</f>
        <v/>
      </c>
      <c r="AD73" t="str" cm="1">
        <f t="array" ref="AD73">IFERROR(
    VLOOKUP(
        INDEX('[1]Dettaglio pacchetti'!$AB$1:$AB$530, _xlfn.AGGREGATE(15,6,ROW($1:$345)/(ISNUMBER(SEARCH('[1]Dettaglio pacchetti'!$AB$1:$AB$530,$C73))),1)) &amp; "*",
        '[1]Dettaglio pacchetti'!$A$1:$I$530,
        6,
        FALSE
    ),
    IFERROR(VLOOKUP($C73, '[1]Dettaglio pacchetti'!$A$1:$I$530, 6, FALSE), "")
)</f>
        <v/>
      </c>
    </row>
    <row r="74" spans="2:30" hidden="1" x14ac:dyDescent="0.3">
      <c r="B74" s="17"/>
      <c r="C74" s="14"/>
      <c r="D74" s="20" t="str" cm="1">
        <f t="array" ref="D74">IFERROR(
    _xlfn.LET(
        _xlpm.risultato,
        IFERROR(
            _xlfn.XLOOKUP(TRIM(UPPER(G74)),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pacchetti'!$E$1:$E$530))=TRIM(UPPER(G74)),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74" s="14" t="str" cm="1">
        <f t="array" ref="E74">IF(TRIM($B74)="SG-ANAGRAFE", "Bugni Batte",
    IF(TRIM($B74)="DW01A", "Cauda",
        IFERROR(
            VLOOKUP(
                INDEX('[1]Dettaglio pacchetti'!$AB$1:$AB$530,
                    _xlfn.AGGREGATE(15, 6,
                        (ROW($1:$345))/(ISNUMBER(SEARCH('[1]Dettaglio pacchetti'!$AB$1:$AB$530, $C74))),
                        1)
                ) &amp; "*",
                '[1]Dettaglio pacchetti'!$A$1:$I$530,
                3,
                FALSE
            ),
            IFERROR(VLOOKUP($C74, '[1]Dettaglio pacchetti'!$A$1:$I$530, 3, FALSE), "")
        )
    )
)</f>
        <v/>
      </c>
      <c r="F74" s="14" t="str" cm="1">
        <f t="array" ref="F74">IF(TRIM($B74)="DW01A", "ETL - EDW Estrattori",
    IFERROR(
        VLOOKUP(
            INDEX('[1]Dettaglio pacchetti'!$AB$1:$AB$530,
                _xlfn.AGGREGATE(15, 6,
                    (ROW($1:$345))/(ISNUMBER(SEARCH('[1]Dettaglio pacchetti'!$AB$1:$AB$530, $C74))),
                    1)
            ) &amp; "*",
            '[1]Dettaglio pacchetti'!$A$1:$I$530,
            4,
            FALSE
        ),
        IFERROR(VLOOKUP($C74, '[1]Dettaglio pacchetti'!$A$1:$I$530, 4, FALSE), "")
    )
)</f>
        <v/>
      </c>
      <c r="G74" s="14" t="str" cm="1">
        <f t="array" ref="G74">IF(TRIM($B74)="DW01A", "ETL - EDW Estrattori",
    IF(TRIM($B74)="SG-ANAGRAFE", "SIGEA Anagrafe",
        IFERROR(
            VLOOKUP(
                INDEX('[1]Dettaglio pacchetti'!$AB$1:$AB$530,
                    _xlfn.AGGREGATE(15, 6,
                        (ROW($1:$345))/(ISNUMBER(SEARCH('[1]Dettaglio pacchetti'!$AB$1:$AB$530, $C74))),
                        1)
                ) &amp; "*",
                '[1]Dettaglio pacchetti'!$A$1:$I$530,
                5,
                FALSE
            ),
            IFERROR(VLOOKUP($C74, '[1]Dettaglio pacchetti'!$A$1:$I$530, 5, FALSE), "")
        )
    )
)</f>
        <v/>
      </c>
      <c r="H74" s="14" t="str" cm="1">
        <f t="array" ref="H74">IFERROR(
    VLOOKUP(
        INDEX('[1]Dettaglio pacchetti'!$AB$1:$AB$530,
            _xlfn.AGGREGATE(15, 6,
                (ROW($1:$345))/(ISNUMBER(SEARCH('[1]Dettaglio pacchetti'!$AB$1:$AB$530, $C74))),
                1)
        ) &amp; "*",
        '[1]Dettaglio pacchetti'!$A$1:$I$530,
        6,
        FALSE
    ),
    IFERROR(VLOOKUP($C74, '[1]Dettaglio pacchetti'!$A$1:$I$530, 6, FALSE), "")
)</f>
        <v/>
      </c>
      <c r="I74" s="7" t="str">
        <f t="shared" si="6"/>
        <v/>
      </c>
      <c r="J74" t="str">
        <f t="shared" si="4"/>
        <v/>
      </c>
      <c r="K74" t="str">
        <f t="shared" si="5"/>
        <v/>
      </c>
      <c r="L74" s="14" t="str" cm="1">
        <f t="array" ref="L74">IFERROR(
    VLOOKUP(
        INDEX('[1]Dettaglio pacchetti'!$AB$1:$AB$530,
            _xlfn.AGGREGATE(15, 6,
                ROW($1:$345)/(ISNUMBER(SEARCH('[1]Dettaglio pacchetti'!$AB$1:$AB$530, $C74))),
                1)
        ) &amp; "*",
        '[1]Dettaglio pacchetti'!$A$1:$I$530,
        8,
        FALSE
    ),
    IFERROR(VLOOKUP($C74, '[1]Dettaglio pacchetti'!$A$1:$I$530, 8, FALSE), "")
)</f>
        <v/>
      </c>
      <c r="M74" s="14" t="str" cm="1">
        <f t="array" ref="M74">IFERROR(
    VLOOKUP(
        INDEX('[1]Dettaglio pacchetti'!$AB$1:$AB$530,
            _xlfn.AGGREGATE(15, 6,
                ROW($1:$345)/(ISNUMBER(SEARCH('[1]Dettaglio pacchetti'!$AB$1:$AB$530, $C74))),
                1)
        ) &amp; "*",
        '[1]Dettaglio pacchetti'!$A$1:$I$530,
        9,
        FALSE
    ),
    IFERROR(VLOOKUP($C74, '[1]Dettaglio pacchetti'!$A$1:$I$530, 9, FALSE), "")
)</f>
        <v/>
      </c>
      <c r="N74" s="7"/>
      <c r="P74" s="6"/>
      <c r="AA74" t="str" cm="1">
        <f t="array" ref="AA74">IFERROR(VLOOKUP(INDEX('[1]Dettaglio pacchetti'!$AB$1:$AB$530, _xlfn.AGGREGATE(15, 6, (ROW($1:$345))/(ISNUMBER(SEARCH('[1]Dettaglio pacchetti'!$AB$1:$AB$530, $C74))), 1)) &amp; "*", '[1]Dettaglio pacchetti'!$A$1:$N$530, 13, FALSE) &amp; "", "")</f>
        <v/>
      </c>
      <c r="AB74" t="str" cm="1">
        <f t="array" ref="AB74">IF(ISNUMBER(SEARCH("dev.azure.com", AA74)), IFERROR(VLOOKUP(INDEX('[1]Dettaglio pacchetti'!$AB$1:$AB$530, _xlfn.AGGREGATE(15, 6, (ROW($1:$345))/(ISNUMBER(SEARCH('[1]Dettaglio pacchetti'!$AB$1:$AB$530, $C74))), 1)) &amp; "*", '[1]Dettaglio pacchetti'!$A$1:$N$530, 1, FALSE) &amp; "", ""), "")</f>
        <v/>
      </c>
      <c r="AC74" t="str" cm="1">
        <f t="array" ref="AC74">IFERROR(
    VLOOKUP(
        INDEX('[1]Dettaglio pacchetti'!$AB$1:$AB$530, _xlfn.AGGREGATE(15,6,ROW($1:$345)/(ISNUMBER(SEARCH('[1]Dettaglio pacchetti'!$AB$1:$AB$530,$C74))),1)) &amp; "*",
        '[1]Dettaglio pacchetti'!$A$1:$I$530,
        7,
        FALSE
    ),
    IFERROR(VLOOKUP($C74, '[1]Dettaglio pacchetti'!$A$1:$I$530, 7, FALSE), "")
)</f>
        <v/>
      </c>
      <c r="AD74" t="str" cm="1">
        <f t="array" ref="AD74">IFERROR(
    VLOOKUP(
        INDEX('[1]Dettaglio pacchetti'!$AB$1:$AB$530, _xlfn.AGGREGATE(15,6,ROW($1:$345)/(ISNUMBER(SEARCH('[1]Dettaglio pacchetti'!$AB$1:$AB$530,$C74))),1)) &amp; "*",
        '[1]Dettaglio pacchetti'!$A$1:$I$530,
        6,
        FALSE
    ),
    IFERROR(VLOOKUP($C74, '[1]Dettaglio pacchetti'!$A$1:$I$530, 6, FALSE), "")
)</f>
        <v/>
      </c>
    </row>
    <row r="75" spans="2:30" hidden="1" x14ac:dyDescent="0.3">
      <c r="B75" s="17"/>
      <c r="C75" s="14"/>
      <c r="D75" s="20" t="str" cm="1">
        <f t="array" ref="D75">IFERROR(
    _xlfn.LET(
        _xlpm.risultato,
        IFERROR(
            _xlfn.XLOOKUP(TRIM(UPPER(G75)),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pacchetti'!$E$1:$E$530))=TRIM(UPPER(G75)),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75" s="14" t="str" cm="1">
        <f t="array" ref="E75">IF(TRIM($B75)="SG-ANAGRAFE", "Bugni Batte",
    IF(TRIM($B75)="DW01A", "Cauda",
        IFERROR(
            VLOOKUP(
                INDEX('[1]Dettaglio pacchetti'!$AB$1:$AB$530,
                    _xlfn.AGGREGATE(15, 6,
                        (ROW($1:$345))/(ISNUMBER(SEARCH('[1]Dettaglio pacchetti'!$AB$1:$AB$530, $C75))),
                        1)
                ) &amp; "*",
                '[1]Dettaglio pacchetti'!$A$1:$I$530,
                3,
                FALSE
            ),
            IFERROR(VLOOKUP($C75, '[1]Dettaglio pacchetti'!$A$1:$I$530, 3, FALSE), "")
        )
    )
)</f>
        <v/>
      </c>
      <c r="F75" s="14" t="str" cm="1">
        <f t="array" ref="F75">IF(TRIM($B75)="DW01A", "ETL - EDW Estrattori",
    IFERROR(
        VLOOKUP(
            INDEX('[1]Dettaglio pacchetti'!$AB$1:$AB$530,
                _xlfn.AGGREGATE(15, 6,
                    (ROW($1:$345))/(ISNUMBER(SEARCH('[1]Dettaglio pacchetti'!$AB$1:$AB$530, $C75))),
                    1)
            ) &amp; "*",
            '[1]Dettaglio pacchetti'!$A$1:$I$530,
            4,
            FALSE
        ),
        IFERROR(VLOOKUP($C75, '[1]Dettaglio pacchetti'!$A$1:$I$530, 4, FALSE), "")
    )
)</f>
        <v/>
      </c>
      <c r="G75" s="14" t="str" cm="1">
        <f t="array" ref="G75">IF(TRIM($B75)="DW01A", "ETL - EDW Estrattori",
    IF(TRIM($B75)="SG-ANAGRAFE", "SIGEA Anagrafe",
        IFERROR(
            VLOOKUP(
                INDEX('[1]Dettaglio pacchetti'!$AB$1:$AB$530,
                    _xlfn.AGGREGATE(15, 6,
                        (ROW($1:$345))/(ISNUMBER(SEARCH('[1]Dettaglio pacchetti'!$AB$1:$AB$530, $C75))),
                        1)
                ) &amp; "*",
                '[1]Dettaglio pacchetti'!$A$1:$I$530,
                5,
                FALSE
            ),
            IFERROR(VLOOKUP($C75, '[1]Dettaglio pacchetti'!$A$1:$I$530, 5, FALSE), "")
        )
    )
)</f>
        <v/>
      </c>
      <c r="H75" s="14" t="str" cm="1">
        <f t="array" ref="H75">IFERROR(
    VLOOKUP(
        INDEX('[1]Dettaglio pacchetti'!$AB$1:$AB$530,
            _xlfn.AGGREGATE(15, 6,
                (ROW($1:$345))/(ISNUMBER(SEARCH('[1]Dettaglio pacchetti'!$AB$1:$AB$530, $C75))),
                1)
        ) &amp; "*",
        '[1]Dettaglio pacchetti'!$A$1:$I$530,
        6,
        FALSE
    ),
    IFERROR(VLOOKUP($C75, '[1]Dettaglio pacchetti'!$A$1:$I$530, 6, FALSE), "")
)</f>
        <v/>
      </c>
      <c r="I75" s="7" t="str">
        <f t="shared" si="6"/>
        <v/>
      </c>
      <c r="J75" t="str">
        <f t="shared" si="4"/>
        <v/>
      </c>
      <c r="K75" t="str">
        <f t="shared" si="5"/>
        <v/>
      </c>
      <c r="L75" s="14" t="str" cm="1">
        <f t="array" ref="L75">IFERROR(
    VLOOKUP(
        INDEX('[1]Dettaglio pacchetti'!$AB$1:$AB$530,
            _xlfn.AGGREGATE(15, 6,
                ROW($1:$345)/(ISNUMBER(SEARCH('[1]Dettaglio pacchetti'!$AB$1:$AB$530, $C75))),
                1)
        ) &amp; "*",
        '[1]Dettaglio pacchetti'!$A$1:$I$530,
        8,
        FALSE
    ),
    IFERROR(VLOOKUP($C75, '[1]Dettaglio pacchetti'!$A$1:$I$530, 8, FALSE), "")
)</f>
        <v/>
      </c>
      <c r="M75" s="14" t="str" cm="1">
        <f t="array" ref="M75">IFERROR(
    VLOOKUP(
        INDEX('[1]Dettaglio pacchetti'!$AB$1:$AB$530,
            _xlfn.AGGREGATE(15, 6,
                ROW($1:$345)/(ISNUMBER(SEARCH('[1]Dettaglio pacchetti'!$AB$1:$AB$530, $C75))),
                1)
        ) &amp; "*",
        '[1]Dettaglio pacchetti'!$A$1:$I$530,
        9,
        FALSE
    ),
    IFERROR(VLOOKUP($C75, '[1]Dettaglio pacchetti'!$A$1:$I$530, 9, FALSE), "")
)</f>
        <v/>
      </c>
      <c r="N75" s="7"/>
      <c r="P75" s="6"/>
      <c r="AA75" t="str" cm="1">
        <f t="array" ref="AA75">IFERROR(VLOOKUP(INDEX('[1]Dettaglio pacchetti'!$AB$1:$AB$530, _xlfn.AGGREGATE(15, 6, (ROW($1:$345))/(ISNUMBER(SEARCH('[1]Dettaglio pacchetti'!$AB$1:$AB$530, $C75))), 1)) &amp; "*", '[1]Dettaglio pacchetti'!$A$1:$N$530, 13, FALSE) &amp; "", "")</f>
        <v/>
      </c>
      <c r="AB75" t="str" cm="1">
        <f t="array" ref="AB75">IF(ISNUMBER(SEARCH("dev.azure.com", AA75)), IFERROR(VLOOKUP(INDEX('[1]Dettaglio pacchetti'!$AB$1:$AB$530, _xlfn.AGGREGATE(15, 6, (ROW($1:$345))/(ISNUMBER(SEARCH('[1]Dettaglio pacchetti'!$AB$1:$AB$530, $C75))), 1)) &amp; "*", '[1]Dettaglio pacchetti'!$A$1:$N$530, 1, FALSE) &amp; "", ""), "")</f>
        <v/>
      </c>
      <c r="AC75" t="str" cm="1">
        <f t="array" ref="AC75">IFERROR(
    VLOOKUP(
        INDEX('[1]Dettaglio pacchetti'!$AB$1:$AB$530, _xlfn.AGGREGATE(15,6,ROW($1:$345)/(ISNUMBER(SEARCH('[1]Dettaglio pacchetti'!$AB$1:$AB$530,$C75))),1)) &amp; "*",
        '[1]Dettaglio pacchetti'!$A$1:$I$530,
        7,
        FALSE
    ),
    IFERROR(VLOOKUP($C75, '[1]Dettaglio pacchetti'!$A$1:$I$530, 7, FALSE), "")
)</f>
        <v/>
      </c>
      <c r="AD75" t="str" cm="1">
        <f t="array" ref="AD75">IFERROR(
    VLOOKUP(
        INDEX('[1]Dettaglio pacchetti'!$AB$1:$AB$530, _xlfn.AGGREGATE(15,6,ROW($1:$345)/(ISNUMBER(SEARCH('[1]Dettaglio pacchetti'!$AB$1:$AB$530,$C75))),1)) &amp; "*",
        '[1]Dettaglio pacchetti'!$A$1:$I$530,
        6,
        FALSE
    ),
    IFERROR(VLOOKUP($C75, '[1]Dettaglio pacchetti'!$A$1:$I$530, 6, FALSE), "")
)</f>
        <v/>
      </c>
    </row>
    <row r="76" spans="2:30" hidden="1" x14ac:dyDescent="0.3">
      <c r="B76" s="17"/>
      <c r="C76" s="14"/>
      <c r="D76" s="20" t="str" cm="1">
        <f t="array" ref="D76">IFERROR(
    _xlfn.LET(
        _xlpm.risultato,
        IFERROR(
            _xlfn.XLOOKUP(TRIM(UPPER(G76)),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pacchetti'!$E$1:$E$530))=TRIM(UPPER(G76)),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76" s="14" t="str" cm="1">
        <f t="array" ref="E76">IF(TRIM($B76)="SG-ANAGRAFE", "Bugni Batte",
    IF(TRIM($B76)="DW01A", "Cauda",
        IFERROR(
            VLOOKUP(
                INDEX('[1]Dettaglio pacchetti'!$AB$1:$AB$530,
                    _xlfn.AGGREGATE(15, 6,
                        (ROW($1:$345))/(ISNUMBER(SEARCH('[1]Dettaglio pacchetti'!$AB$1:$AB$530, $C76))),
                        1)
                ) &amp; "*",
                '[1]Dettaglio pacchetti'!$A$1:$I$530,
                3,
                FALSE
            ),
            IFERROR(VLOOKUP($C76, '[1]Dettaglio pacchetti'!$A$1:$I$530, 3, FALSE), "")
        )
    )
)</f>
        <v/>
      </c>
      <c r="F76" s="14" t="str" cm="1">
        <f t="array" ref="F76">IF(TRIM($B76)="DW01A", "ETL - EDW Estrattori",
    IFERROR(
        VLOOKUP(
            INDEX('[1]Dettaglio pacchetti'!$AB$1:$AB$530,
                _xlfn.AGGREGATE(15, 6,
                    (ROW($1:$345))/(ISNUMBER(SEARCH('[1]Dettaglio pacchetti'!$AB$1:$AB$530, $C76))),
                    1)
            ) &amp; "*",
            '[1]Dettaglio pacchetti'!$A$1:$I$530,
            4,
            FALSE
        ),
        IFERROR(VLOOKUP($C76, '[1]Dettaglio pacchetti'!$A$1:$I$530, 4, FALSE), "")
    )
)</f>
        <v/>
      </c>
      <c r="G76" s="14" t="str" cm="1">
        <f t="array" ref="G76">IF(TRIM($B76)="DW01A", "ETL - EDW Estrattori",
    IF(TRIM($B76)="SG-ANAGRAFE", "SIGEA Anagrafe",
        IFERROR(
            VLOOKUP(
                INDEX('[1]Dettaglio pacchetti'!$AB$1:$AB$530,
                    _xlfn.AGGREGATE(15, 6,
                        (ROW($1:$345))/(ISNUMBER(SEARCH('[1]Dettaglio pacchetti'!$AB$1:$AB$530, $C76))),
                        1)
                ) &amp; "*",
                '[1]Dettaglio pacchetti'!$A$1:$I$530,
                5,
                FALSE
            ),
            IFERROR(VLOOKUP($C76, '[1]Dettaglio pacchetti'!$A$1:$I$530, 5, FALSE), "")
        )
    )
)</f>
        <v/>
      </c>
      <c r="H76" s="14" t="str" cm="1">
        <f t="array" ref="H76">IFERROR(
    VLOOKUP(
        INDEX('[1]Dettaglio pacchetti'!$AB$1:$AB$530,
            _xlfn.AGGREGATE(15, 6,
                (ROW($1:$345))/(ISNUMBER(SEARCH('[1]Dettaglio pacchetti'!$AB$1:$AB$530, $C76))),
                1)
        ) &amp; "*",
        '[1]Dettaglio pacchetti'!$A$1:$I$530,
        6,
        FALSE
    ),
    IFERROR(VLOOKUP($C76, '[1]Dettaglio pacchetti'!$A$1:$I$530, 6, FALSE), "")
)</f>
        <v/>
      </c>
      <c r="I76" s="7" t="str">
        <f t="shared" si="6"/>
        <v/>
      </c>
      <c r="J76" t="str">
        <f t="shared" si="4"/>
        <v/>
      </c>
      <c r="K76" t="str">
        <f t="shared" si="5"/>
        <v/>
      </c>
      <c r="L76" s="14" t="str" cm="1">
        <f t="array" ref="L76">IFERROR(
    VLOOKUP(
        INDEX('[1]Dettaglio pacchetti'!$AB$1:$AB$530,
            _xlfn.AGGREGATE(15, 6,
                ROW($1:$345)/(ISNUMBER(SEARCH('[1]Dettaglio pacchetti'!$AB$1:$AB$530, $C76))),
                1)
        ) &amp; "*",
        '[1]Dettaglio pacchetti'!$A$1:$I$530,
        8,
        FALSE
    ),
    IFERROR(VLOOKUP($C76, '[1]Dettaglio pacchetti'!$A$1:$I$530, 8, FALSE), "")
)</f>
        <v/>
      </c>
      <c r="M76" s="14" t="str" cm="1">
        <f t="array" ref="M76">IFERROR(
    VLOOKUP(
        INDEX('[1]Dettaglio pacchetti'!$AB$1:$AB$530,
            _xlfn.AGGREGATE(15, 6,
                ROW($1:$345)/(ISNUMBER(SEARCH('[1]Dettaglio pacchetti'!$AB$1:$AB$530, $C76))),
                1)
        ) &amp; "*",
        '[1]Dettaglio pacchetti'!$A$1:$I$530,
        9,
        FALSE
    ),
    IFERROR(VLOOKUP($C76, '[1]Dettaglio pacchetti'!$A$1:$I$530, 9, FALSE), "")
)</f>
        <v/>
      </c>
      <c r="N76" s="7"/>
      <c r="P76" s="6"/>
      <c r="AA76" t="str" cm="1">
        <f t="array" ref="AA76">IFERROR(VLOOKUP(INDEX('[1]Dettaglio pacchetti'!$AB$1:$AB$530, _xlfn.AGGREGATE(15, 6, (ROW($1:$345))/(ISNUMBER(SEARCH('[1]Dettaglio pacchetti'!$AB$1:$AB$530, $C76))), 1)) &amp; "*", '[1]Dettaglio pacchetti'!$A$1:$N$530, 13, FALSE) &amp; "", "")</f>
        <v/>
      </c>
      <c r="AB76" t="str" cm="1">
        <f t="array" ref="AB76">IF(ISNUMBER(SEARCH("dev.azure.com", AA76)), IFERROR(VLOOKUP(INDEX('[1]Dettaglio pacchetti'!$AB$1:$AB$530, _xlfn.AGGREGATE(15, 6, (ROW($1:$345))/(ISNUMBER(SEARCH('[1]Dettaglio pacchetti'!$AB$1:$AB$530, $C76))), 1)) &amp; "*", '[1]Dettaglio pacchetti'!$A$1:$N$530, 1, FALSE) &amp; "", ""), "")</f>
        <v/>
      </c>
      <c r="AC76" t="str" cm="1">
        <f t="array" ref="AC76">IFERROR(
    VLOOKUP(
        INDEX('[1]Dettaglio pacchetti'!$AB$1:$AB$530, _xlfn.AGGREGATE(15,6,ROW($1:$345)/(ISNUMBER(SEARCH('[1]Dettaglio pacchetti'!$AB$1:$AB$530,$C76))),1)) &amp; "*",
        '[1]Dettaglio pacchetti'!$A$1:$I$530,
        7,
        FALSE
    ),
    IFERROR(VLOOKUP($C76, '[1]Dettaglio pacchetti'!$A$1:$I$530, 7, FALSE), "")
)</f>
        <v/>
      </c>
      <c r="AD76" t="str" cm="1">
        <f t="array" ref="AD76">IFERROR(
    VLOOKUP(
        INDEX('[1]Dettaglio pacchetti'!$AB$1:$AB$530, _xlfn.AGGREGATE(15,6,ROW($1:$345)/(ISNUMBER(SEARCH('[1]Dettaglio pacchetti'!$AB$1:$AB$530,$C76))),1)) &amp; "*",
        '[1]Dettaglio pacchetti'!$A$1:$I$530,
        6,
        FALSE
    ),
    IFERROR(VLOOKUP($C76, '[1]Dettaglio pacchetti'!$A$1:$I$530, 6, FALSE), "")
)</f>
        <v/>
      </c>
    </row>
    <row r="77" spans="2:30" hidden="1" x14ac:dyDescent="0.3">
      <c r="B77" s="17"/>
      <c r="C77" s="14"/>
      <c r="D77" s="20" t="str" cm="1">
        <f t="array" ref="D77">IFERROR(
    _xlfn.LET(
        _xlpm.risultato,
        IFERROR(
            _xlfn.XLOOKUP(TRIM(UPPER(G77)),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pacchetti'!$E$1:$E$530))=TRIM(UPPER(G77)),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77" s="14" t="str" cm="1">
        <f t="array" ref="E77">IF(TRIM($B77)="SG-ANAGRAFE", "Bugni Batte",
    IF(TRIM($B77)="DW01A", "Cauda",
        IFERROR(
            VLOOKUP(
                INDEX('[1]Dettaglio pacchetti'!$AB$1:$AB$530,
                    _xlfn.AGGREGATE(15, 6,
                        (ROW($1:$345))/(ISNUMBER(SEARCH('[1]Dettaglio pacchetti'!$AB$1:$AB$530, $C77))),
                        1)
                ) &amp; "*",
                '[1]Dettaglio pacchetti'!$A$1:$I$530,
                3,
                FALSE
            ),
            IFERROR(VLOOKUP($C77, '[1]Dettaglio pacchetti'!$A$1:$I$530, 3, FALSE), "")
        )
    )
)</f>
        <v/>
      </c>
      <c r="F77" s="14" t="str" cm="1">
        <f t="array" ref="F77">IF(TRIM($B77)="DW01A", "ETL - EDW Estrattori",
    IFERROR(
        VLOOKUP(
            INDEX('[1]Dettaglio pacchetti'!$AB$1:$AB$530,
                _xlfn.AGGREGATE(15, 6,
                    (ROW($1:$345))/(ISNUMBER(SEARCH('[1]Dettaglio pacchetti'!$AB$1:$AB$530, $C77))),
                    1)
            ) &amp; "*",
            '[1]Dettaglio pacchetti'!$A$1:$I$530,
            4,
            FALSE
        ),
        IFERROR(VLOOKUP($C77, '[1]Dettaglio pacchetti'!$A$1:$I$530, 4, FALSE), "")
    )
)</f>
        <v/>
      </c>
      <c r="G77" s="14" t="str" cm="1">
        <f t="array" ref="G77">IF(TRIM($B77)="DW01A", "ETL - EDW Estrattori",
    IF(TRIM($B77)="SG-ANAGRAFE", "SIGEA Anagrafe",
        IFERROR(
            VLOOKUP(
                INDEX('[1]Dettaglio pacchetti'!$AB$1:$AB$530,
                    _xlfn.AGGREGATE(15, 6,
                        (ROW($1:$345))/(ISNUMBER(SEARCH('[1]Dettaglio pacchetti'!$AB$1:$AB$530, $C77))),
                        1)
                ) &amp; "*",
                '[1]Dettaglio pacchetti'!$A$1:$I$530,
                5,
                FALSE
            ),
            IFERROR(VLOOKUP($C77, '[1]Dettaglio pacchetti'!$A$1:$I$530, 5, FALSE), "")
        )
    )
)</f>
        <v/>
      </c>
      <c r="H77" s="14" t="str" cm="1">
        <f t="array" ref="H77">IFERROR(
    VLOOKUP(
        INDEX('[1]Dettaglio pacchetti'!$AB$1:$AB$530,
            _xlfn.AGGREGATE(15, 6,
                (ROW($1:$345))/(ISNUMBER(SEARCH('[1]Dettaglio pacchetti'!$AB$1:$AB$530, $C77))),
                1)
        ) &amp; "*",
        '[1]Dettaglio pacchetti'!$A$1:$I$530,
        6,
        FALSE
    ),
    IFERROR(VLOOKUP($C77, '[1]Dettaglio pacchetti'!$A$1:$I$530, 6, FALSE), "")
)</f>
        <v/>
      </c>
      <c r="I77" s="7" t="str">
        <f t="shared" si="6"/>
        <v/>
      </c>
      <c r="J77" t="str">
        <f t="shared" si="4"/>
        <v/>
      </c>
      <c r="K77" t="str">
        <f t="shared" si="5"/>
        <v/>
      </c>
      <c r="L77" s="14" t="str" cm="1">
        <f t="array" ref="L77">IFERROR(
    VLOOKUP(
        INDEX('[1]Dettaglio pacchetti'!$AB$1:$AB$530,
            _xlfn.AGGREGATE(15, 6,
                ROW($1:$345)/(ISNUMBER(SEARCH('[1]Dettaglio pacchetti'!$AB$1:$AB$530, $C77))),
                1)
        ) &amp; "*",
        '[1]Dettaglio pacchetti'!$A$1:$I$530,
        8,
        FALSE
    ),
    IFERROR(VLOOKUP($C77, '[1]Dettaglio pacchetti'!$A$1:$I$530, 8, FALSE), "")
)</f>
        <v/>
      </c>
      <c r="M77" s="14" t="str" cm="1">
        <f t="array" ref="M77">IFERROR(
    VLOOKUP(
        INDEX('[1]Dettaglio pacchetti'!$AB$1:$AB$530,
            _xlfn.AGGREGATE(15, 6,
                ROW($1:$345)/(ISNUMBER(SEARCH('[1]Dettaglio pacchetti'!$AB$1:$AB$530, $C77))),
                1)
        ) &amp; "*",
        '[1]Dettaglio pacchetti'!$A$1:$I$530,
        9,
        FALSE
    ),
    IFERROR(VLOOKUP($C77, '[1]Dettaglio pacchetti'!$A$1:$I$530, 9, FALSE), "")
)</f>
        <v/>
      </c>
      <c r="N77" s="7"/>
      <c r="P77" s="6"/>
      <c r="AA77" t="str" cm="1">
        <f t="array" ref="AA77">IFERROR(VLOOKUP(INDEX('[1]Dettaglio pacchetti'!$AB$1:$AB$530, _xlfn.AGGREGATE(15, 6, (ROW($1:$345))/(ISNUMBER(SEARCH('[1]Dettaglio pacchetti'!$AB$1:$AB$530, $C77))), 1)) &amp; "*", '[1]Dettaglio pacchetti'!$A$1:$N$530, 13, FALSE) &amp; "", "")</f>
        <v/>
      </c>
      <c r="AB77" t="str" cm="1">
        <f t="array" ref="AB77">IF(ISNUMBER(SEARCH("dev.azure.com", AA77)), IFERROR(VLOOKUP(INDEX('[1]Dettaglio pacchetti'!$AB$1:$AB$530, _xlfn.AGGREGATE(15, 6, (ROW($1:$345))/(ISNUMBER(SEARCH('[1]Dettaglio pacchetti'!$AB$1:$AB$530, $C77))), 1)) &amp; "*", '[1]Dettaglio pacchetti'!$A$1:$N$530, 1, FALSE) &amp; "", ""), "")</f>
        <v/>
      </c>
      <c r="AC77" t="str" cm="1">
        <f t="array" ref="AC77">IFERROR(
    VLOOKUP(
        INDEX('[1]Dettaglio pacchetti'!$AB$1:$AB$530, _xlfn.AGGREGATE(15,6,ROW($1:$345)/(ISNUMBER(SEARCH('[1]Dettaglio pacchetti'!$AB$1:$AB$530,$C77))),1)) &amp; "*",
        '[1]Dettaglio pacchetti'!$A$1:$I$530,
        7,
        FALSE
    ),
    IFERROR(VLOOKUP($C77, '[1]Dettaglio pacchetti'!$A$1:$I$530, 7, FALSE), "")
)</f>
        <v/>
      </c>
      <c r="AD77" t="str" cm="1">
        <f t="array" ref="AD77">IFERROR(
    VLOOKUP(
        INDEX('[1]Dettaglio pacchetti'!$AB$1:$AB$530, _xlfn.AGGREGATE(15,6,ROW($1:$345)/(ISNUMBER(SEARCH('[1]Dettaglio pacchetti'!$AB$1:$AB$530,$C77))),1)) &amp; "*",
        '[1]Dettaglio pacchetti'!$A$1:$I$530,
        6,
        FALSE
    ),
    IFERROR(VLOOKUP($C77, '[1]Dettaglio pacchetti'!$A$1:$I$530, 6, FALSE), "")
)</f>
        <v/>
      </c>
    </row>
    <row r="78" spans="2:30" hidden="1" x14ac:dyDescent="0.3">
      <c r="B78" s="17"/>
      <c r="C78" s="14"/>
      <c r="D78" s="20" t="str" cm="1">
        <f t="array" ref="D78">IFERROR(
    _xlfn.LET(
        _xlpm.risultato,
        IFERROR(
            _xlfn.XLOOKUP(TRIM(UPPER(G78)),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pacchetti'!$E$1:$E$530))=TRIM(UPPER(G78)),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78" s="14" t="str" cm="1">
        <f t="array" ref="E78">IF(TRIM($B78)="SG-ANAGRAFE", "Bugni Batte",
    IF(TRIM($B78)="DW01A", "Cauda",
        IFERROR(
            VLOOKUP(
                INDEX('[1]Dettaglio pacchetti'!$AB$1:$AB$530,
                    _xlfn.AGGREGATE(15, 6,
                        (ROW($1:$345))/(ISNUMBER(SEARCH('[1]Dettaglio pacchetti'!$AB$1:$AB$530, $C78))),
                        1)
                ) &amp; "*",
                '[1]Dettaglio pacchetti'!$A$1:$I$530,
                3,
                FALSE
            ),
            IFERROR(VLOOKUP($C78, '[1]Dettaglio pacchetti'!$A$1:$I$530, 3, FALSE), "")
        )
    )
)</f>
        <v/>
      </c>
      <c r="F78" s="14" t="str" cm="1">
        <f t="array" ref="F78">IF(TRIM($B78)="DW01A", "ETL - EDW Estrattori",
    IFERROR(
        VLOOKUP(
            INDEX('[1]Dettaglio pacchetti'!$AB$1:$AB$530,
                _xlfn.AGGREGATE(15, 6,
                    (ROW($1:$345))/(ISNUMBER(SEARCH('[1]Dettaglio pacchetti'!$AB$1:$AB$530, $C78))),
                    1)
            ) &amp; "*",
            '[1]Dettaglio pacchetti'!$A$1:$I$530,
            4,
            FALSE
        ),
        IFERROR(VLOOKUP($C78, '[1]Dettaglio pacchetti'!$A$1:$I$530, 4, FALSE), "")
    )
)</f>
        <v/>
      </c>
      <c r="G78" s="14" t="str" cm="1">
        <f t="array" ref="G78">IF(TRIM($B78)="DW01A", "ETL - EDW Estrattori",
    IF(TRIM($B78)="SG-ANAGRAFE", "SIGEA Anagrafe",
        IFERROR(
            VLOOKUP(
                INDEX('[1]Dettaglio pacchetti'!$AB$1:$AB$530,
                    _xlfn.AGGREGATE(15, 6,
                        (ROW($1:$345))/(ISNUMBER(SEARCH('[1]Dettaglio pacchetti'!$AB$1:$AB$530, $C78))),
                        1)
                ) &amp; "*",
                '[1]Dettaglio pacchetti'!$A$1:$I$530,
                5,
                FALSE
            ),
            IFERROR(VLOOKUP($C78, '[1]Dettaglio pacchetti'!$A$1:$I$530, 5, FALSE), "")
        )
    )
)</f>
        <v/>
      </c>
      <c r="H78" s="14" t="str" cm="1">
        <f t="array" ref="H78">IFERROR(
    VLOOKUP(
        INDEX('[1]Dettaglio pacchetti'!$AB$1:$AB$530,
            _xlfn.AGGREGATE(15, 6,
                (ROW($1:$345))/(ISNUMBER(SEARCH('[1]Dettaglio pacchetti'!$AB$1:$AB$530, $C78))),
                1)
        ) &amp; "*",
        '[1]Dettaglio pacchetti'!$A$1:$I$530,
        6,
        FALSE
    ),
    IFERROR(VLOOKUP($C78, '[1]Dettaglio pacchetti'!$A$1:$I$530, 6, FALSE), "")
)</f>
        <v/>
      </c>
      <c r="I78" s="7" t="str">
        <f t="shared" si="6"/>
        <v/>
      </c>
      <c r="J78" t="str">
        <f t="shared" si="4"/>
        <v/>
      </c>
      <c r="K78" t="str">
        <f t="shared" si="5"/>
        <v/>
      </c>
      <c r="L78" s="14" t="str" cm="1">
        <f t="array" ref="L78">IFERROR(
    VLOOKUP(
        INDEX('[1]Dettaglio pacchetti'!$AB$1:$AB$530,
            _xlfn.AGGREGATE(15, 6,
                ROW($1:$345)/(ISNUMBER(SEARCH('[1]Dettaglio pacchetti'!$AB$1:$AB$530, $C78))),
                1)
        ) &amp; "*",
        '[1]Dettaglio pacchetti'!$A$1:$I$530,
        8,
        FALSE
    ),
    IFERROR(VLOOKUP($C78, '[1]Dettaglio pacchetti'!$A$1:$I$530, 8, FALSE), "")
)</f>
        <v/>
      </c>
      <c r="M78" s="14" t="str" cm="1">
        <f t="array" ref="M78">IFERROR(
    VLOOKUP(
        INDEX('[1]Dettaglio pacchetti'!$AB$1:$AB$530,
            _xlfn.AGGREGATE(15, 6,
                ROW($1:$345)/(ISNUMBER(SEARCH('[1]Dettaglio pacchetti'!$AB$1:$AB$530, $C78))),
                1)
        ) &amp; "*",
        '[1]Dettaglio pacchetti'!$A$1:$I$530,
        9,
        FALSE
    ),
    IFERROR(VLOOKUP($C78, '[1]Dettaglio pacchetti'!$A$1:$I$530, 9, FALSE), "")
)</f>
        <v/>
      </c>
      <c r="N78" s="7"/>
      <c r="P78" s="6"/>
      <c r="AA78" t="str" cm="1">
        <f t="array" ref="AA78">IFERROR(VLOOKUP(INDEX('[1]Dettaglio pacchetti'!$AB$1:$AB$530, _xlfn.AGGREGATE(15, 6, (ROW($1:$345))/(ISNUMBER(SEARCH('[1]Dettaglio pacchetti'!$AB$1:$AB$530, $C78))), 1)) &amp; "*", '[1]Dettaglio pacchetti'!$A$1:$N$530, 13, FALSE) &amp; "", "")</f>
        <v/>
      </c>
      <c r="AB78" t="str" cm="1">
        <f t="array" ref="AB78">IF(ISNUMBER(SEARCH("dev.azure.com", AA78)), IFERROR(VLOOKUP(INDEX('[1]Dettaglio pacchetti'!$AB$1:$AB$530, _xlfn.AGGREGATE(15, 6, (ROW($1:$345))/(ISNUMBER(SEARCH('[1]Dettaglio pacchetti'!$AB$1:$AB$530, $C78))), 1)) &amp; "*", '[1]Dettaglio pacchetti'!$A$1:$N$530, 1, FALSE) &amp; "", ""), "")</f>
        <v/>
      </c>
      <c r="AC78" t="str" cm="1">
        <f t="array" ref="AC78">IFERROR(
    VLOOKUP(
        INDEX('[1]Dettaglio pacchetti'!$AB$1:$AB$530, _xlfn.AGGREGATE(15,6,ROW($1:$345)/(ISNUMBER(SEARCH('[1]Dettaglio pacchetti'!$AB$1:$AB$530,$C78))),1)) &amp; "*",
        '[1]Dettaglio pacchetti'!$A$1:$I$530,
        7,
        FALSE
    ),
    IFERROR(VLOOKUP($C78, '[1]Dettaglio pacchetti'!$A$1:$I$530, 7, FALSE), "")
)</f>
        <v/>
      </c>
      <c r="AD78" t="str" cm="1">
        <f t="array" ref="AD78">IFERROR(
    VLOOKUP(
        INDEX('[1]Dettaglio pacchetti'!$AB$1:$AB$530, _xlfn.AGGREGATE(15,6,ROW($1:$345)/(ISNUMBER(SEARCH('[1]Dettaglio pacchetti'!$AB$1:$AB$530,$C78))),1)) &amp; "*",
        '[1]Dettaglio pacchetti'!$A$1:$I$530,
        6,
        FALSE
    ),
    IFERROR(VLOOKUP($C78, '[1]Dettaglio pacchetti'!$A$1:$I$530, 6, FALSE), "")
)</f>
        <v/>
      </c>
    </row>
    <row r="79" spans="2:30" hidden="1" x14ac:dyDescent="0.3">
      <c r="B79" s="17"/>
      <c r="C79" s="14"/>
      <c r="D79" s="20" t="str" cm="1">
        <f t="array" ref="D79">IFERROR(
    _xlfn.LET(
        _xlpm.risultato,
        IFERROR(
            _xlfn.XLOOKUP(TRIM(UPPER(G79)),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pacchetti'!$E$1:$E$530))=TRIM(UPPER(G79)),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79" s="14" t="str" cm="1">
        <f t="array" ref="E79">IF(TRIM($B79)="SG-ANAGRAFE", "Bugni Batte",
    IF(TRIM($B79)="DW01A", "Cauda",
        IFERROR(
            VLOOKUP(
                INDEX('[1]Dettaglio pacchetti'!$AB$1:$AB$530,
                    _xlfn.AGGREGATE(15, 6,
                        (ROW($1:$345))/(ISNUMBER(SEARCH('[1]Dettaglio pacchetti'!$AB$1:$AB$530, $C79))),
                        1)
                ) &amp; "*",
                '[1]Dettaglio pacchetti'!$A$1:$I$530,
                3,
                FALSE
            ),
            IFERROR(VLOOKUP($C79, '[1]Dettaglio pacchetti'!$A$1:$I$530, 3, FALSE), "")
        )
    )
)</f>
        <v/>
      </c>
      <c r="F79" s="14" t="str" cm="1">
        <f t="array" ref="F79">IF(TRIM($B79)="DW01A", "ETL - EDW Estrattori",
    IFERROR(
        VLOOKUP(
            INDEX('[1]Dettaglio pacchetti'!$AB$1:$AB$530,
                _xlfn.AGGREGATE(15, 6,
                    (ROW($1:$345))/(ISNUMBER(SEARCH('[1]Dettaglio pacchetti'!$AB$1:$AB$530, $C79))),
                    1)
            ) &amp; "*",
            '[1]Dettaglio pacchetti'!$A$1:$I$530,
            4,
            FALSE
        ),
        IFERROR(VLOOKUP($C79, '[1]Dettaglio pacchetti'!$A$1:$I$530, 4, FALSE), "")
    )
)</f>
        <v/>
      </c>
      <c r="G79" s="14" t="str" cm="1">
        <f t="array" ref="G79">IF(TRIM($B79)="DW01A", "ETL - EDW Estrattori",
    IF(TRIM($B79)="SG-ANAGRAFE", "SIGEA Anagrafe",
        IFERROR(
            VLOOKUP(
                INDEX('[1]Dettaglio pacchetti'!$AB$1:$AB$530,
                    _xlfn.AGGREGATE(15, 6,
                        (ROW($1:$345))/(ISNUMBER(SEARCH('[1]Dettaglio pacchetti'!$AB$1:$AB$530, $C79))),
                        1)
                ) &amp; "*",
                '[1]Dettaglio pacchetti'!$A$1:$I$530,
                5,
                FALSE
            ),
            IFERROR(VLOOKUP($C79, '[1]Dettaglio pacchetti'!$A$1:$I$530, 5, FALSE), "")
        )
    )
)</f>
        <v/>
      </c>
      <c r="H79" s="14" t="str" cm="1">
        <f t="array" ref="H79">IFERROR(
    VLOOKUP(
        INDEX('[1]Dettaglio pacchetti'!$AB$1:$AB$530,
            _xlfn.AGGREGATE(15, 6,
                (ROW($1:$345))/(ISNUMBER(SEARCH('[1]Dettaglio pacchetti'!$AB$1:$AB$530, $C79))),
                1)
        ) &amp; "*",
        '[1]Dettaglio pacchetti'!$A$1:$I$530,
        6,
        FALSE
    ),
    IFERROR(VLOOKUP($C79, '[1]Dettaglio pacchetti'!$A$1:$I$530, 6, FALSE), "")
)</f>
        <v/>
      </c>
      <c r="I79" s="7" t="str">
        <f t="shared" si="6"/>
        <v/>
      </c>
      <c r="J79" t="str">
        <f t="shared" si="4"/>
        <v/>
      </c>
      <c r="K79" t="str">
        <f t="shared" si="5"/>
        <v/>
      </c>
      <c r="L79" s="14" t="str" cm="1">
        <f t="array" ref="L79">IFERROR(
    VLOOKUP(
        INDEX('[1]Dettaglio pacchetti'!$AB$1:$AB$530,
            _xlfn.AGGREGATE(15, 6,
                ROW($1:$345)/(ISNUMBER(SEARCH('[1]Dettaglio pacchetti'!$AB$1:$AB$530, $C79))),
                1)
        ) &amp; "*",
        '[1]Dettaglio pacchetti'!$A$1:$I$530,
        8,
        FALSE
    ),
    IFERROR(VLOOKUP($C79, '[1]Dettaglio pacchetti'!$A$1:$I$530, 8, FALSE), "")
)</f>
        <v/>
      </c>
      <c r="M79" s="14" t="str" cm="1">
        <f t="array" ref="M79">IFERROR(
    VLOOKUP(
        INDEX('[1]Dettaglio pacchetti'!$AB$1:$AB$530,
            _xlfn.AGGREGATE(15, 6,
                ROW($1:$345)/(ISNUMBER(SEARCH('[1]Dettaglio pacchetti'!$AB$1:$AB$530, $C79))),
                1)
        ) &amp; "*",
        '[1]Dettaglio pacchetti'!$A$1:$I$530,
        9,
        FALSE
    ),
    IFERROR(VLOOKUP($C79, '[1]Dettaglio pacchetti'!$A$1:$I$530, 9, FALSE), "")
)</f>
        <v/>
      </c>
      <c r="N79" s="7"/>
      <c r="P79" s="6"/>
      <c r="AA79" t="str" cm="1">
        <f t="array" ref="AA79">IFERROR(VLOOKUP(INDEX('[1]Dettaglio pacchetti'!$AB$1:$AB$530, _xlfn.AGGREGATE(15, 6, (ROW($1:$345))/(ISNUMBER(SEARCH('[1]Dettaglio pacchetti'!$AB$1:$AB$530, $C79))), 1)) &amp; "*", '[1]Dettaglio pacchetti'!$A$1:$N$530, 13, FALSE) &amp; "", "")</f>
        <v/>
      </c>
      <c r="AB79" t="str" cm="1">
        <f t="array" ref="AB79">IF(ISNUMBER(SEARCH("dev.azure.com", AA79)), IFERROR(VLOOKUP(INDEX('[1]Dettaglio pacchetti'!$AB$1:$AB$530, _xlfn.AGGREGATE(15, 6, (ROW($1:$345))/(ISNUMBER(SEARCH('[1]Dettaglio pacchetti'!$AB$1:$AB$530, $C79))), 1)) &amp; "*", '[1]Dettaglio pacchetti'!$A$1:$N$530, 1, FALSE) &amp; "", ""), "")</f>
        <v/>
      </c>
      <c r="AC79" t="str" cm="1">
        <f t="array" ref="AC79">IFERROR(
    VLOOKUP(
        INDEX('[1]Dettaglio pacchetti'!$AB$1:$AB$530, _xlfn.AGGREGATE(15,6,ROW($1:$345)/(ISNUMBER(SEARCH('[1]Dettaglio pacchetti'!$AB$1:$AB$530,$C79))),1)) &amp; "*",
        '[1]Dettaglio pacchetti'!$A$1:$I$530,
        7,
        FALSE
    ),
    IFERROR(VLOOKUP($C79, '[1]Dettaglio pacchetti'!$A$1:$I$530, 7, FALSE), "")
)</f>
        <v/>
      </c>
      <c r="AD79" t="str" cm="1">
        <f t="array" ref="AD79">IFERROR(
    VLOOKUP(
        INDEX('[1]Dettaglio pacchetti'!$AB$1:$AB$530, _xlfn.AGGREGATE(15,6,ROW($1:$345)/(ISNUMBER(SEARCH('[1]Dettaglio pacchetti'!$AB$1:$AB$530,$C79))),1)) &amp; "*",
        '[1]Dettaglio pacchetti'!$A$1:$I$530,
        6,
        FALSE
    ),
    IFERROR(VLOOKUP($C79, '[1]Dettaglio pacchetti'!$A$1:$I$530, 6, FALSE), "")
)</f>
        <v/>
      </c>
    </row>
    <row r="80" spans="2:30" hidden="1" x14ac:dyDescent="0.3">
      <c r="B80" s="17"/>
      <c r="C80" s="14"/>
      <c r="D80" s="20" t="str" cm="1">
        <f t="array" ref="D80">IFERROR(
    _xlfn.LET(
        _xlpm.risultato,
        IFERROR(
            _xlfn.XLOOKUP(TRIM(UPPER(G80)),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pacchetti'!$E$1:$E$530))=TRIM(UPPER(G80)),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80" s="14" t="str" cm="1">
        <f t="array" ref="E80">IF(TRIM($B80)="SG-ANAGRAFE", "Bugni Batte",
    IF(TRIM($B80)="DW01A", "Cauda",
        IFERROR(
            VLOOKUP(
                INDEX('[1]Dettaglio pacchetti'!$AB$1:$AB$530,
                    _xlfn.AGGREGATE(15, 6,
                        (ROW($1:$345))/(ISNUMBER(SEARCH('[1]Dettaglio pacchetti'!$AB$1:$AB$530, $C80))),
                        1)
                ) &amp; "*",
                '[1]Dettaglio pacchetti'!$A$1:$I$530,
                3,
                FALSE
            ),
            IFERROR(VLOOKUP($C80, '[1]Dettaglio pacchetti'!$A$1:$I$530, 3, FALSE), "")
        )
    )
)</f>
        <v/>
      </c>
      <c r="F80" s="14" t="str" cm="1">
        <f t="array" ref="F80">IF(TRIM($B80)="DW01A", "ETL - EDW Estrattori",
    IFERROR(
        VLOOKUP(
            INDEX('[1]Dettaglio pacchetti'!$AB$1:$AB$530,
                _xlfn.AGGREGATE(15, 6,
                    (ROW($1:$345))/(ISNUMBER(SEARCH('[1]Dettaglio pacchetti'!$AB$1:$AB$530, $C80))),
                    1)
            ) &amp; "*",
            '[1]Dettaglio pacchetti'!$A$1:$I$530,
            4,
            FALSE
        ),
        IFERROR(VLOOKUP($C80, '[1]Dettaglio pacchetti'!$A$1:$I$530, 4, FALSE), "")
    )
)</f>
        <v/>
      </c>
      <c r="G80" s="14" t="str" cm="1">
        <f t="array" ref="G80">IF(TRIM($B80)="DW01A", "ETL - EDW Estrattori",
    IF(TRIM($B80)="SG-ANAGRAFE", "SIGEA Anagrafe",
        IFERROR(
            VLOOKUP(
                INDEX('[1]Dettaglio pacchetti'!$AB$1:$AB$530,
                    _xlfn.AGGREGATE(15, 6,
                        (ROW($1:$345))/(ISNUMBER(SEARCH('[1]Dettaglio pacchetti'!$AB$1:$AB$530, $C80))),
                        1)
                ) &amp; "*",
                '[1]Dettaglio pacchetti'!$A$1:$I$530,
                5,
                FALSE
            ),
            IFERROR(VLOOKUP($C80, '[1]Dettaglio pacchetti'!$A$1:$I$530, 5, FALSE), "")
        )
    )
)</f>
        <v/>
      </c>
      <c r="H80" s="14" t="str" cm="1">
        <f t="array" ref="H80">IFERROR(
    VLOOKUP(
        INDEX('[1]Dettaglio pacchetti'!$AB$1:$AB$530,
            _xlfn.AGGREGATE(15, 6,
                (ROW($1:$345))/(ISNUMBER(SEARCH('[1]Dettaglio pacchetti'!$AB$1:$AB$530, $C80))),
                1)
        ) &amp; "*",
        '[1]Dettaglio pacchetti'!$A$1:$I$530,
        6,
        FALSE
    ),
    IFERROR(VLOOKUP($C80, '[1]Dettaglio pacchetti'!$A$1:$I$530, 6, FALSE), "")
)</f>
        <v/>
      </c>
      <c r="I80" s="7" t="str">
        <f t="shared" si="6"/>
        <v/>
      </c>
      <c r="J80" t="str">
        <f t="shared" si="4"/>
        <v/>
      </c>
      <c r="K80" t="str">
        <f t="shared" si="5"/>
        <v/>
      </c>
      <c r="L80" s="14" t="str" cm="1">
        <f t="array" ref="L80">IFERROR(
    VLOOKUP(
        INDEX('[1]Dettaglio pacchetti'!$AB$1:$AB$530,
            _xlfn.AGGREGATE(15, 6,
                ROW($1:$345)/(ISNUMBER(SEARCH('[1]Dettaglio pacchetti'!$AB$1:$AB$530, $C80))),
                1)
        ) &amp; "*",
        '[1]Dettaglio pacchetti'!$A$1:$I$530,
        8,
        FALSE
    ),
    IFERROR(VLOOKUP($C80, '[1]Dettaglio pacchetti'!$A$1:$I$530, 8, FALSE), "")
)</f>
        <v/>
      </c>
      <c r="M80" s="14" t="str" cm="1">
        <f t="array" ref="M80">IFERROR(
    VLOOKUP(
        INDEX('[1]Dettaglio pacchetti'!$AB$1:$AB$530,
            _xlfn.AGGREGATE(15, 6,
                ROW($1:$345)/(ISNUMBER(SEARCH('[1]Dettaglio pacchetti'!$AB$1:$AB$530, $C80))),
                1)
        ) &amp; "*",
        '[1]Dettaglio pacchetti'!$A$1:$I$530,
        9,
        FALSE
    ),
    IFERROR(VLOOKUP($C80, '[1]Dettaglio pacchetti'!$A$1:$I$530, 9, FALSE), "")
)</f>
        <v/>
      </c>
      <c r="N80" s="7"/>
      <c r="P80" s="6"/>
      <c r="AA80" t="str" cm="1">
        <f t="array" ref="AA80">IFERROR(VLOOKUP(INDEX('[1]Dettaglio pacchetti'!$AB$1:$AB$530, _xlfn.AGGREGATE(15, 6, (ROW($1:$345))/(ISNUMBER(SEARCH('[1]Dettaglio pacchetti'!$AB$1:$AB$530, $C80))), 1)) &amp; "*", '[1]Dettaglio pacchetti'!$A$1:$N$530, 13, FALSE) &amp; "", "")</f>
        <v/>
      </c>
      <c r="AB80" t="str" cm="1">
        <f t="array" ref="AB80">IF(ISNUMBER(SEARCH("dev.azure.com", AA80)), IFERROR(VLOOKUP(INDEX('[1]Dettaglio pacchetti'!$AB$1:$AB$530, _xlfn.AGGREGATE(15, 6, (ROW($1:$345))/(ISNUMBER(SEARCH('[1]Dettaglio pacchetti'!$AB$1:$AB$530, $C80))), 1)) &amp; "*", '[1]Dettaglio pacchetti'!$A$1:$N$530, 1, FALSE) &amp; "", ""), "")</f>
        <v/>
      </c>
      <c r="AC80" t="str" cm="1">
        <f t="array" ref="AC80">IFERROR(
    VLOOKUP(
        INDEX('[1]Dettaglio pacchetti'!$AB$1:$AB$530, _xlfn.AGGREGATE(15,6,ROW($1:$345)/(ISNUMBER(SEARCH('[1]Dettaglio pacchetti'!$AB$1:$AB$530,$C80))),1)) &amp; "*",
        '[1]Dettaglio pacchetti'!$A$1:$I$530,
        7,
        FALSE
    ),
    IFERROR(VLOOKUP($C80, '[1]Dettaglio pacchetti'!$A$1:$I$530, 7, FALSE), "")
)</f>
        <v/>
      </c>
      <c r="AD80" t="str" cm="1">
        <f t="array" ref="AD80">IFERROR(
    VLOOKUP(
        INDEX('[1]Dettaglio pacchetti'!$AB$1:$AB$530, _xlfn.AGGREGATE(15,6,ROW($1:$345)/(ISNUMBER(SEARCH('[1]Dettaglio pacchetti'!$AB$1:$AB$530,$C80))),1)) &amp; "*",
        '[1]Dettaglio pacchetti'!$A$1:$I$530,
        6,
        FALSE
    ),
    IFERROR(VLOOKUP($C80, '[1]Dettaglio pacchetti'!$A$1:$I$530, 6, FALSE), "")
)</f>
        <v/>
      </c>
    </row>
    <row r="81" spans="2:30" hidden="1" x14ac:dyDescent="0.3">
      <c r="B81" s="17"/>
      <c r="C81" s="14"/>
      <c r="D81" s="20" t="str" cm="1">
        <f t="array" ref="D81">IFERROR(
    _xlfn.LET(
        _xlpm.risultato,
        IFERROR(
            _xlfn.XLOOKUP(TRIM(UPPER(G81)),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pacchetti'!$E$1:$E$530))=TRIM(UPPER(G81)),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81" s="14" t="str" cm="1">
        <f t="array" ref="E81">IF(TRIM($B81)="SG-ANAGRAFE", "Bugni Batte",
    IF(TRIM($B81)="DW01A", "Cauda",
        IFERROR(
            VLOOKUP(
                INDEX('[1]Dettaglio pacchetti'!$AB$1:$AB$530,
                    _xlfn.AGGREGATE(15, 6,
                        (ROW($1:$345))/(ISNUMBER(SEARCH('[1]Dettaglio pacchetti'!$AB$1:$AB$530, $C81))),
                        1)
                ) &amp; "*",
                '[1]Dettaglio pacchetti'!$A$1:$I$530,
                3,
                FALSE
            ),
            IFERROR(VLOOKUP($C81, '[1]Dettaglio pacchetti'!$A$1:$I$530, 3, FALSE), "")
        )
    )
)</f>
        <v/>
      </c>
      <c r="F81" s="14" t="str" cm="1">
        <f t="array" ref="F81">IF(TRIM($B81)="DW01A", "ETL - EDW Estrattori",
    IFERROR(
        VLOOKUP(
            INDEX('[1]Dettaglio pacchetti'!$AB$1:$AB$530,
                _xlfn.AGGREGATE(15, 6,
                    (ROW($1:$345))/(ISNUMBER(SEARCH('[1]Dettaglio pacchetti'!$AB$1:$AB$530, $C81))),
                    1)
            ) &amp; "*",
            '[1]Dettaglio pacchetti'!$A$1:$I$530,
            4,
            FALSE
        ),
        IFERROR(VLOOKUP($C81, '[1]Dettaglio pacchetti'!$A$1:$I$530, 4, FALSE), "")
    )
)</f>
        <v/>
      </c>
      <c r="G81" s="14" t="str" cm="1">
        <f t="array" ref="G81">IF(TRIM($B81)="DW01A", "ETL - EDW Estrattori",
    IF(TRIM($B81)="SG-ANAGRAFE", "SIGEA Anagrafe",
        IFERROR(
            VLOOKUP(
                INDEX('[1]Dettaglio pacchetti'!$AB$1:$AB$530,
                    _xlfn.AGGREGATE(15, 6,
                        (ROW($1:$345))/(ISNUMBER(SEARCH('[1]Dettaglio pacchetti'!$AB$1:$AB$530, $C81))),
                        1)
                ) &amp; "*",
                '[1]Dettaglio pacchetti'!$A$1:$I$530,
                5,
                FALSE
            ),
            IFERROR(VLOOKUP($C81, '[1]Dettaglio pacchetti'!$A$1:$I$530, 5, FALSE), "")
        )
    )
)</f>
        <v/>
      </c>
      <c r="H81" s="14" t="str" cm="1">
        <f t="array" ref="H81">IFERROR(
    VLOOKUP(
        INDEX('[1]Dettaglio pacchetti'!$AB$1:$AB$530,
            _xlfn.AGGREGATE(15, 6,
                (ROW($1:$345))/(ISNUMBER(SEARCH('[1]Dettaglio pacchetti'!$AB$1:$AB$530, $C81))),
                1)
        ) &amp; "*",
        '[1]Dettaglio pacchetti'!$A$1:$I$530,
        6,
        FALSE
    ),
    IFERROR(VLOOKUP($C81, '[1]Dettaglio pacchetti'!$A$1:$I$530, 6, FALSE), "")
)</f>
        <v/>
      </c>
      <c r="I81" s="7" t="str">
        <f t="shared" si="6"/>
        <v/>
      </c>
      <c r="J81" t="str">
        <f t="shared" si="4"/>
        <v/>
      </c>
      <c r="K81" t="str">
        <f t="shared" si="5"/>
        <v/>
      </c>
      <c r="L81" s="14" t="str" cm="1">
        <f t="array" ref="L81">IFERROR(
    VLOOKUP(
        INDEX('[1]Dettaglio pacchetti'!$AB$1:$AB$530,
            _xlfn.AGGREGATE(15, 6,
                ROW($1:$345)/(ISNUMBER(SEARCH('[1]Dettaglio pacchetti'!$AB$1:$AB$530, $C81))),
                1)
        ) &amp; "*",
        '[1]Dettaglio pacchetti'!$A$1:$I$530,
        8,
        FALSE
    ),
    IFERROR(VLOOKUP($C81, '[1]Dettaglio pacchetti'!$A$1:$I$530, 8, FALSE), "")
)</f>
        <v/>
      </c>
      <c r="M81" s="14" t="str" cm="1">
        <f t="array" ref="M81">IFERROR(
    VLOOKUP(
        INDEX('[1]Dettaglio pacchetti'!$AB$1:$AB$530,
            _xlfn.AGGREGATE(15, 6,
                ROW($1:$345)/(ISNUMBER(SEARCH('[1]Dettaglio pacchetti'!$AB$1:$AB$530, $C81))),
                1)
        ) &amp; "*",
        '[1]Dettaglio pacchetti'!$A$1:$I$530,
        9,
        FALSE
    ),
    IFERROR(VLOOKUP($C81, '[1]Dettaglio pacchetti'!$A$1:$I$530, 9, FALSE), "")
)</f>
        <v/>
      </c>
      <c r="N81" s="7"/>
      <c r="P81" s="6"/>
      <c r="T81" t="s">
        <v>16</v>
      </c>
      <c r="U81" t="s">
        <v>16</v>
      </c>
      <c r="AA81" t="str" cm="1">
        <f t="array" ref="AA81">IFERROR(VLOOKUP(INDEX('[1]Dettaglio pacchetti'!$AB$1:$AB$530, _xlfn.AGGREGATE(15, 6, (ROW($1:$345))/(ISNUMBER(SEARCH('[1]Dettaglio pacchetti'!$AB$1:$AB$530, $C81))), 1)) &amp; "*", '[1]Dettaglio pacchetti'!$A$1:$N$530, 13, FALSE) &amp; "", "")</f>
        <v/>
      </c>
      <c r="AB81" t="str" cm="1">
        <f t="array" ref="AB81">IF(ISNUMBER(SEARCH("dev.azure.com", AA81)), IFERROR(VLOOKUP(INDEX('[1]Dettaglio pacchetti'!$AB$1:$AB$530, _xlfn.AGGREGATE(15, 6, (ROW($1:$345))/(ISNUMBER(SEARCH('[1]Dettaglio pacchetti'!$AB$1:$AB$530, $C81))), 1)) &amp; "*", '[1]Dettaglio pacchetti'!$A$1:$N$530, 1, FALSE) &amp; "", ""), "")</f>
        <v/>
      </c>
      <c r="AC81" t="str" cm="1">
        <f t="array" ref="AC81">IFERROR(
    VLOOKUP(
        INDEX('[1]Dettaglio pacchetti'!$AB$1:$AB$530, _xlfn.AGGREGATE(15,6,ROW($1:$345)/(ISNUMBER(SEARCH('[1]Dettaglio pacchetti'!$AB$1:$AB$530,$C81))),1)) &amp; "*",
        '[1]Dettaglio pacchetti'!$A$1:$I$530,
        7,
        FALSE
    ),
    IFERROR(VLOOKUP($C81, '[1]Dettaglio pacchetti'!$A$1:$I$530, 7, FALSE), "")
)</f>
        <v/>
      </c>
      <c r="AD81" t="str" cm="1">
        <f t="array" ref="AD81">IFERROR(
    VLOOKUP(
        INDEX('[1]Dettaglio pacchetti'!$AB$1:$AB$530, _xlfn.AGGREGATE(15,6,ROW($1:$345)/(ISNUMBER(SEARCH('[1]Dettaglio pacchetti'!$AB$1:$AB$530,$C81))),1)) &amp; "*",
        '[1]Dettaglio pacchetti'!$A$1:$I$530,
        6,
        FALSE
    ),
    IFERROR(VLOOKUP($C81, '[1]Dettaglio pacchetti'!$A$1:$I$530, 6, FALSE), "")
)</f>
        <v/>
      </c>
    </row>
    <row r="82" spans="2:30" hidden="1" x14ac:dyDescent="0.3">
      <c r="B82" s="17"/>
      <c r="C82" s="14"/>
      <c r="D82" s="20" t="str" cm="1">
        <f t="array" ref="D82">IFERROR(
    _xlfn.LET(
        _xlpm.risultato,
        IFERROR(
            _xlfn.XLOOKUP(TRIM(UPPER(G82)),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pacchetti'!$E$1:$E$530))=TRIM(UPPER(G82)),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82" s="14" t="str" cm="1">
        <f t="array" ref="E82">IF(TRIM($B82)="SG-ANAGRAFE", "Bugni Batte",
    IF(TRIM($B82)="DW01A", "Cauda",
        IFERROR(
            VLOOKUP(
                INDEX('[1]Dettaglio pacchetti'!$AB$1:$AB$530,
                    _xlfn.AGGREGATE(15, 6,
                        (ROW($1:$345))/(ISNUMBER(SEARCH('[1]Dettaglio pacchetti'!$AB$1:$AB$530, $C82))),
                        1)
                ) &amp; "*",
                '[1]Dettaglio pacchetti'!$A$1:$I$530,
                3,
                FALSE
            ),
            IFERROR(VLOOKUP($C82, '[1]Dettaglio pacchetti'!$A$1:$I$530, 3, FALSE), "")
        )
    )
)</f>
        <v/>
      </c>
      <c r="F82" s="14" t="str" cm="1">
        <f t="array" ref="F82">IF(TRIM($B82)="DW01A", "ETL - EDW Estrattori",
    IFERROR(
        VLOOKUP(
            INDEX('[1]Dettaglio pacchetti'!$AB$1:$AB$530,
                _xlfn.AGGREGATE(15, 6,
                    (ROW($1:$345))/(ISNUMBER(SEARCH('[1]Dettaglio pacchetti'!$AB$1:$AB$530, $C82))),
                    1)
            ) &amp; "*",
            '[1]Dettaglio pacchetti'!$A$1:$I$530,
            4,
            FALSE
        ),
        IFERROR(VLOOKUP($C82, '[1]Dettaglio pacchetti'!$A$1:$I$530, 4, FALSE), "")
    )
)</f>
        <v/>
      </c>
      <c r="G82" s="14" t="str" cm="1">
        <f t="array" ref="G82">IF(TRIM($B82)="DW01A", "ETL - EDW Estrattori",
    IF(TRIM($B82)="SG-ANAGRAFE", "SIGEA Anagrafe",
        IFERROR(
            VLOOKUP(
                INDEX('[1]Dettaglio pacchetti'!$AB$1:$AB$530,
                    _xlfn.AGGREGATE(15, 6,
                        (ROW($1:$345))/(ISNUMBER(SEARCH('[1]Dettaglio pacchetti'!$AB$1:$AB$530, $C82))),
                        1)
                ) &amp; "*",
                '[1]Dettaglio pacchetti'!$A$1:$I$530,
                5,
                FALSE
            ),
            IFERROR(VLOOKUP($C82, '[1]Dettaglio pacchetti'!$A$1:$I$530, 5, FALSE), "")
        )
    )
)</f>
        <v/>
      </c>
      <c r="H82" s="14" t="str" cm="1">
        <f t="array" ref="H82">IFERROR(
    VLOOKUP(
        INDEX('[1]Dettaglio pacchetti'!$AB$1:$AB$530,
            _xlfn.AGGREGATE(15, 6,
                (ROW($1:$345))/(ISNUMBER(SEARCH('[1]Dettaglio pacchetti'!$AB$1:$AB$530, $C82))),
                1)
        ) &amp; "*",
        '[1]Dettaglio pacchetti'!$A$1:$I$530,
        6,
        FALSE
    ),
    IFERROR(VLOOKUP($C82, '[1]Dettaglio pacchetti'!$A$1:$I$530, 6, FALSE), "")
)</f>
        <v/>
      </c>
      <c r="I82" s="7" t="str">
        <f t="shared" si="6"/>
        <v/>
      </c>
      <c r="J82" t="str">
        <f t="shared" si="4"/>
        <v/>
      </c>
      <c r="K82" t="str">
        <f t="shared" si="5"/>
        <v/>
      </c>
      <c r="L82" s="14" t="str" cm="1">
        <f t="array" ref="L82">IFERROR(
    VLOOKUP(
        INDEX('[1]Dettaglio pacchetti'!$AB$1:$AB$530,
            _xlfn.AGGREGATE(15, 6,
                ROW($1:$345)/(ISNUMBER(SEARCH('[1]Dettaglio pacchetti'!$AB$1:$AB$530, $C82))),
                1)
        ) &amp; "*",
        '[1]Dettaglio pacchetti'!$A$1:$I$530,
        8,
        FALSE
    ),
    IFERROR(VLOOKUP($C82, '[1]Dettaglio pacchetti'!$A$1:$I$530, 8, FALSE), "")
)</f>
        <v/>
      </c>
      <c r="M82" s="14" t="str" cm="1">
        <f t="array" ref="M82">IFERROR(
    VLOOKUP(
        INDEX('[1]Dettaglio pacchetti'!$AB$1:$AB$530,
            _xlfn.AGGREGATE(15, 6,
                ROW($1:$345)/(ISNUMBER(SEARCH('[1]Dettaglio pacchetti'!$AB$1:$AB$530, $C82))),
                1)
        ) &amp; "*",
        '[1]Dettaglio pacchetti'!$A$1:$I$530,
        9,
        FALSE
    ),
    IFERROR(VLOOKUP($C82, '[1]Dettaglio pacchetti'!$A$1:$I$530, 9, FALSE), "")
)</f>
        <v/>
      </c>
      <c r="N82" s="7"/>
      <c r="P82" s="6"/>
      <c r="AA82" t="str" cm="1">
        <f t="array" ref="AA82">IFERROR(VLOOKUP(INDEX('[1]Dettaglio pacchetti'!$AB$1:$AB$530, _xlfn.AGGREGATE(15, 6, (ROW($1:$345))/(ISNUMBER(SEARCH('[1]Dettaglio pacchetti'!$AB$1:$AB$530, $C82))), 1)) &amp; "*", '[1]Dettaglio pacchetti'!$A$1:$N$530, 13, FALSE) &amp; "", "")</f>
        <v/>
      </c>
      <c r="AB82" t="str" cm="1">
        <f t="array" ref="AB82">IF(ISNUMBER(SEARCH("dev.azure.com", AA82)), IFERROR(VLOOKUP(INDEX('[1]Dettaglio pacchetti'!$AB$1:$AB$530, _xlfn.AGGREGATE(15, 6, (ROW($1:$345))/(ISNUMBER(SEARCH('[1]Dettaglio pacchetti'!$AB$1:$AB$530, $C82))), 1)) &amp; "*", '[1]Dettaglio pacchetti'!$A$1:$N$530, 1, FALSE) &amp; "", ""), "")</f>
        <v/>
      </c>
      <c r="AC82" t="str" cm="1">
        <f t="array" ref="AC82">IFERROR(
    VLOOKUP(
        INDEX('[1]Dettaglio pacchetti'!$AB$1:$AB$530, _xlfn.AGGREGATE(15,6,ROW($1:$345)/(ISNUMBER(SEARCH('[1]Dettaglio pacchetti'!$AB$1:$AB$530,$C82))),1)) &amp; "*",
        '[1]Dettaglio pacchetti'!$A$1:$I$530,
        7,
        FALSE
    ),
    IFERROR(VLOOKUP($C82, '[1]Dettaglio pacchetti'!$A$1:$I$530, 7, FALSE), "")
)</f>
        <v/>
      </c>
      <c r="AD82" t="str" cm="1">
        <f t="array" ref="AD82">IFERROR(
    VLOOKUP(
        INDEX('[1]Dettaglio pacchetti'!$AB$1:$AB$530, _xlfn.AGGREGATE(15,6,ROW($1:$345)/(ISNUMBER(SEARCH('[1]Dettaglio pacchetti'!$AB$1:$AB$530,$C82))),1)) &amp; "*",
        '[1]Dettaglio pacchetti'!$A$1:$I$530,
        6,
        FALSE
    ),
    IFERROR(VLOOKUP($C82, '[1]Dettaglio pacchetti'!$A$1:$I$530, 6, FALSE), "")
)</f>
        <v/>
      </c>
    </row>
    <row r="83" spans="2:30" hidden="1" x14ac:dyDescent="0.3">
      <c r="B83" s="17"/>
      <c r="C83" s="14"/>
      <c r="D83" s="20" t="str" cm="1">
        <f t="array" ref="D83">IFERROR(
    _xlfn.LET(
        _xlpm.risultato,
        IFERROR(
            _xlfn.XLOOKUP(TRIM(UPPER(G83)),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pacchetti'!$E$1:$E$530))=TRIM(UPPER(G83)),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83" s="14" t="str" cm="1">
        <f t="array" ref="E83">IF(TRIM($B83)="SG-ANAGRAFE", "Bugni Batte",
    IF(TRIM($B83)="DW01A", "Cauda",
        IFERROR(
            VLOOKUP(
                INDEX('[1]Dettaglio pacchetti'!$AB$1:$AB$530,
                    _xlfn.AGGREGATE(15, 6,
                        (ROW($1:$345))/(ISNUMBER(SEARCH('[1]Dettaglio pacchetti'!$AB$1:$AB$530, $C83))),
                        1)
                ) &amp; "*",
                '[1]Dettaglio pacchetti'!$A$1:$I$530,
                3,
                FALSE
            ),
            IFERROR(VLOOKUP($C83, '[1]Dettaglio pacchetti'!$A$1:$I$530, 3, FALSE), "")
        )
    )
)</f>
        <v/>
      </c>
      <c r="F83" s="14" t="str" cm="1">
        <f t="array" ref="F83">IF(TRIM($B83)="DW01A", "ETL - EDW Estrattori",
    IFERROR(
        VLOOKUP(
            INDEX('[1]Dettaglio pacchetti'!$AB$1:$AB$530,
                _xlfn.AGGREGATE(15, 6,
                    (ROW($1:$345))/(ISNUMBER(SEARCH('[1]Dettaglio pacchetti'!$AB$1:$AB$530, $C83))),
                    1)
            ) &amp; "*",
            '[1]Dettaglio pacchetti'!$A$1:$I$530,
            4,
            FALSE
        ),
        IFERROR(VLOOKUP($C83, '[1]Dettaglio pacchetti'!$A$1:$I$530, 4, FALSE), "")
    )
)</f>
        <v/>
      </c>
      <c r="G83" s="14" t="str" cm="1">
        <f t="array" ref="G83">IF(TRIM($B83)="DW01A", "ETL - EDW Estrattori",
    IF(TRIM($B83)="SG-ANAGRAFE", "SIGEA Anagrafe",
        IFERROR(
            VLOOKUP(
                INDEX('[1]Dettaglio pacchetti'!$AB$1:$AB$530,
                    _xlfn.AGGREGATE(15, 6,
                        (ROW($1:$345))/(ISNUMBER(SEARCH('[1]Dettaglio pacchetti'!$AB$1:$AB$530, $C83))),
                        1)
                ) &amp; "*",
                '[1]Dettaglio pacchetti'!$A$1:$I$530,
                5,
                FALSE
            ),
            IFERROR(VLOOKUP($C83, '[1]Dettaglio pacchetti'!$A$1:$I$530, 5, FALSE), "")
        )
    )
)</f>
        <v/>
      </c>
      <c r="H83" s="14" t="str" cm="1">
        <f t="array" ref="H83">IFERROR(
    VLOOKUP(
        INDEX('[1]Dettaglio pacchetti'!$AB$1:$AB$530,
            _xlfn.AGGREGATE(15, 6,
                (ROW($1:$345))/(ISNUMBER(SEARCH('[1]Dettaglio pacchetti'!$AB$1:$AB$530, $C83))),
                1)
        ) &amp; "*",
        '[1]Dettaglio pacchetti'!$A$1:$I$530,
        6,
        FALSE
    ),
    IFERROR(VLOOKUP($C83, '[1]Dettaglio pacchetti'!$A$1:$I$530, 6, FALSE), "")
)</f>
        <v/>
      </c>
      <c r="I83" s="7" t="str">
        <f t="shared" si="6"/>
        <v/>
      </c>
      <c r="J83" t="str">
        <f t="shared" si="4"/>
        <v/>
      </c>
      <c r="K83" t="str">
        <f t="shared" si="5"/>
        <v/>
      </c>
      <c r="L83" s="14" t="str" cm="1">
        <f t="array" ref="L83">IFERROR(
    VLOOKUP(
        INDEX('[1]Dettaglio pacchetti'!$AB$1:$AB$530,
            _xlfn.AGGREGATE(15, 6,
                ROW($1:$345)/(ISNUMBER(SEARCH('[1]Dettaglio pacchetti'!$AB$1:$AB$530, $C83))),
                1)
        ) &amp; "*",
        '[1]Dettaglio pacchetti'!$A$1:$I$530,
        8,
        FALSE
    ),
    IFERROR(VLOOKUP($C83, '[1]Dettaglio pacchetti'!$A$1:$I$530, 8, FALSE), "")
)</f>
        <v/>
      </c>
      <c r="M83" s="14" t="str" cm="1">
        <f t="array" ref="M83">IFERROR(
    VLOOKUP(
        INDEX('[1]Dettaglio pacchetti'!$AB$1:$AB$530,
            _xlfn.AGGREGATE(15, 6,
                ROW($1:$345)/(ISNUMBER(SEARCH('[1]Dettaglio pacchetti'!$AB$1:$AB$530, $C83))),
                1)
        ) &amp; "*",
        '[1]Dettaglio pacchetti'!$A$1:$I$530,
        9,
        FALSE
    ),
    IFERROR(VLOOKUP($C83, '[1]Dettaglio pacchetti'!$A$1:$I$530, 9, FALSE), "")
)</f>
        <v/>
      </c>
      <c r="N83" s="7"/>
      <c r="P83" s="6"/>
      <c r="AA83" t="str" cm="1">
        <f t="array" ref="AA83">IFERROR(VLOOKUP(INDEX('[1]Dettaglio pacchetti'!$AB$1:$AB$530, _xlfn.AGGREGATE(15, 6, (ROW($1:$345))/(ISNUMBER(SEARCH('[1]Dettaglio pacchetti'!$AB$1:$AB$530, $C83))), 1)) &amp; "*", '[1]Dettaglio pacchetti'!$A$1:$N$530, 13, FALSE) &amp; "", "")</f>
        <v/>
      </c>
      <c r="AB83" t="str" cm="1">
        <f t="array" ref="AB83">IF(ISNUMBER(SEARCH("dev.azure.com", AA83)), IFERROR(VLOOKUP(INDEX('[1]Dettaglio pacchetti'!$AB$1:$AB$530, _xlfn.AGGREGATE(15, 6, (ROW($1:$345))/(ISNUMBER(SEARCH('[1]Dettaglio pacchetti'!$AB$1:$AB$530, $C83))), 1)) &amp; "*", '[1]Dettaglio pacchetti'!$A$1:$N$530, 1, FALSE) &amp; "", ""), "")</f>
        <v/>
      </c>
      <c r="AC83" t="str" cm="1">
        <f t="array" ref="AC83">IFERROR(
    VLOOKUP(
        INDEX('[1]Dettaglio pacchetti'!$AB$1:$AB$530, _xlfn.AGGREGATE(15,6,ROW($1:$345)/(ISNUMBER(SEARCH('[1]Dettaglio pacchetti'!$AB$1:$AB$530,$C83))),1)) &amp; "*",
        '[1]Dettaglio pacchetti'!$A$1:$I$530,
        7,
        FALSE
    ),
    IFERROR(VLOOKUP($C83, '[1]Dettaglio pacchetti'!$A$1:$I$530, 7, FALSE), "")
)</f>
        <v/>
      </c>
      <c r="AD83" t="str" cm="1">
        <f t="array" ref="AD83">IFERROR(
    VLOOKUP(
        INDEX('[1]Dettaglio pacchetti'!$AB$1:$AB$530, _xlfn.AGGREGATE(15,6,ROW($1:$345)/(ISNUMBER(SEARCH('[1]Dettaglio pacchetti'!$AB$1:$AB$530,$C83))),1)) &amp; "*",
        '[1]Dettaglio pacchetti'!$A$1:$I$530,
        6,
        FALSE
    ),
    IFERROR(VLOOKUP($C83, '[1]Dettaglio pacchetti'!$A$1:$I$530, 6, FALSE), "")
)</f>
        <v/>
      </c>
    </row>
    <row r="84" spans="2:30" hidden="1" x14ac:dyDescent="0.3">
      <c r="B84" s="17"/>
      <c r="C84" s="14"/>
      <c r="D84" s="20" t="str" cm="1">
        <f t="array" ref="D84">IFERROR(
    _xlfn.LET(
        _xlpm.risultato,
        IFERROR(
            _xlfn.XLOOKUP(TRIM(UPPER(G84)),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pacchetti'!$E$1:$E$530))=TRIM(UPPER(G84)),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84" s="14" t="str" cm="1">
        <f t="array" ref="E84">IF(TRIM($B84)="SG-ANAGRAFE", "Bugni Batte",
    IF(TRIM($B84)="DW01A", "Cauda",
        IFERROR(
            VLOOKUP(
                INDEX('[1]Dettaglio pacchetti'!$AB$1:$AB$530,
                    _xlfn.AGGREGATE(15, 6,
                        (ROW($1:$345))/(ISNUMBER(SEARCH('[1]Dettaglio pacchetti'!$AB$1:$AB$530, $C84))),
                        1)
                ) &amp; "*",
                '[1]Dettaglio pacchetti'!$A$1:$I$530,
                3,
                FALSE
            ),
            IFERROR(VLOOKUP($C84, '[1]Dettaglio pacchetti'!$A$1:$I$530, 3, FALSE), "")
        )
    )
)</f>
        <v/>
      </c>
      <c r="F84" s="14" t="str" cm="1">
        <f t="array" ref="F84">IF(TRIM($B84)="DW01A", "ETL - EDW Estrattori",
    IFERROR(
        VLOOKUP(
            INDEX('[1]Dettaglio pacchetti'!$AB$1:$AB$530,
                _xlfn.AGGREGATE(15, 6,
                    (ROW($1:$345))/(ISNUMBER(SEARCH('[1]Dettaglio pacchetti'!$AB$1:$AB$530, $C84))),
                    1)
            ) &amp; "*",
            '[1]Dettaglio pacchetti'!$A$1:$I$530,
            4,
            FALSE
        ),
        IFERROR(VLOOKUP($C84, '[1]Dettaglio pacchetti'!$A$1:$I$530, 4, FALSE), "")
    )
)</f>
        <v/>
      </c>
      <c r="G84" s="14" t="str" cm="1">
        <f t="array" ref="G84">IF(TRIM($B84)="DW01A", "ETL - EDW Estrattori",
    IF(TRIM($B84)="SG-ANAGRAFE", "SIGEA Anagrafe",
        IFERROR(
            VLOOKUP(
                INDEX('[1]Dettaglio pacchetti'!$AB$1:$AB$530,
                    _xlfn.AGGREGATE(15, 6,
                        (ROW($1:$345))/(ISNUMBER(SEARCH('[1]Dettaglio pacchetti'!$AB$1:$AB$530, $C84))),
                        1)
                ) &amp; "*",
                '[1]Dettaglio pacchetti'!$A$1:$I$530,
                5,
                FALSE
            ),
            IFERROR(VLOOKUP($C84, '[1]Dettaglio pacchetti'!$A$1:$I$530, 5, FALSE), "")
        )
    )
)</f>
        <v/>
      </c>
      <c r="H84" s="14" t="str" cm="1">
        <f t="array" ref="H84">IFERROR(
    VLOOKUP(
        INDEX('[1]Dettaglio pacchetti'!$AB$1:$AB$530,
            _xlfn.AGGREGATE(15, 6,
                (ROW($1:$345))/(ISNUMBER(SEARCH('[1]Dettaglio pacchetti'!$AB$1:$AB$530, $C84))),
                1)
        ) &amp; "*",
        '[1]Dettaglio pacchetti'!$A$1:$I$530,
        6,
        FALSE
    ),
    IFERROR(VLOOKUP($C84, '[1]Dettaglio pacchetti'!$A$1:$I$530, 6, FALSE), "")
)</f>
        <v/>
      </c>
      <c r="I84" s="7" t="str">
        <f t="shared" si="6"/>
        <v/>
      </c>
      <c r="J84" t="str">
        <f t="shared" si="4"/>
        <v/>
      </c>
      <c r="K84" t="str">
        <f t="shared" si="5"/>
        <v/>
      </c>
      <c r="L84" s="14" t="str" cm="1">
        <f t="array" ref="L84">IFERROR(
    VLOOKUP(
        INDEX('[1]Dettaglio pacchetti'!$AB$1:$AB$530,
            _xlfn.AGGREGATE(15, 6,
                ROW($1:$345)/(ISNUMBER(SEARCH('[1]Dettaglio pacchetti'!$AB$1:$AB$530, $C84))),
                1)
        ) &amp; "*",
        '[1]Dettaglio pacchetti'!$A$1:$I$530,
        8,
        FALSE
    ),
    IFERROR(VLOOKUP($C84, '[1]Dettaglio pacchetti'!$A$1:$I$530, 8, FALSE), "")
)</f>
        <v/>
      </c>
      <c r="M84" s="14" t="str" cm="1">
        <f t="array" ref="M84">IFERROR(
    VLOOKUP(
        INDEX('[1]Dettaglio pacchetti'!$AB$1:$AB$530,
            _xlfn.AGGREGATE(15, 6,
                ROW($1:$345)/(ISNUMBER(SEARCH('[1]Dettaglio pacchetti'!$AB$1:$AB$530, $C84))),
                1)
        ) &amp; "*",
        '[1]Dettaglio pacchetti'!$A$1:$I$530,
        9,
        FALSE
    ),
    IFERROR(VLOOKUP($C84, '[1]Dettaglio pacchetti'!$A$1:$I$530, 9, FALSE), "")
)</f>
        <v/>
      </c>
      <c r="N84" s="7"/>
      <c r="P84" s="6"/>
      <c r="AA84" t="str" cm="1">
        <f t="array" ref="AA84">IFERROR(VLOOKUP(INDEX('[1]Dettaglio pacchetti'!$AB$1:$AB$530, _xlfn.AGGREGATE(15, 6, (ROW($1:$345))/(ISNUMBER(SEARCH('[1]Dettaglio pacchetti'!$AB$1:$AB$530, $C84))), 1)) &amp; "*", '[1]Dettaglio pacchetti'!$A$1:$N$530, 13, FALSE) &amp; "", "")</f>
        <v/>
      </c>
      <c r="AB84" t="str" cm="1">
        <f t="array" ref="AB84">IF(ISNUMBER(SEARCH("dev.azure.com", AA84)), IFERROR(VLOOKUP(INDEX('[1]Dettaglio pacchetti'!$AB$1:$AB$530, _xlfn.AGGREGATE(15, 6, (ROW($1:$345))/(ISNUMBER(SEARCH('[1]Dettaglio pacchetti'!$AB$1:$AB$530, $C84))), 1)) &amp; "*", '[1]Dettaglio pacchetti'!$A$1:$N$530, 1, FALSE) &amp; "", ""), "")</f>
        <v/>
      </c>
      <c r="AC84" t="str" cm="1">
        <f t="array" ref="AC84">IFERROR(
    VLOOKUP(
        INDEX('[1]Dettaglio pacchetti'!$AB$1:$AB$530, _xlfn.AGGREGATE(15,6,ROW($1:$345)/(ISNUMBER(SEARCH('[1]Dettaglio pacchetti'!$AB$1:$AB$530,$C84))),1)) &amp; "*",
        '[1]Dettaglio pacchetti'!$A$1:$I$530,
        7,
        FALSE
    ),
    IFERROR(VLOOKUP($C84, '[1]Dettaglio pacchetti'!$A$1:$I$530, 7, FALSE), "")
)</f>
        <v/>
      </c>
      <c r="AD84" t="str" cm="1">
        <f t="array" ref="AD84">IFERROR(
    VLOOKUP(
        INDEX('[1]Dettaglio pacchetti'!$AB$1:$AB$530, _xlfn.AGGREGATE(15,6,ROW($1:$345)/(ISNUMBER(SEARCH('[1]Dettaglio pacchetti'!$AB$1:$AB$530,$C84))),1)) &amp; "*",
        '[1]Dettaglio pacchetti'!$A$1:$I$530,
        6,
        FALSE
    ),
    IFERROR(VLOOKUP($C84, '[1]Dettaglio pacchetti'!$A$1:$I$530, 6, FALSE), "")
)</f>
        <v/>
      </c>
    </row>
    <row r="85" spans="2:30" hidden="1" x14ac:dyDescent="0.3">
      <c r="B85" s="17"/>
      <c r="C85" s="14"/>
      <c r="D85" s="20" t="str" cm="1">
        <f t="array" ref="D85">IFERROR(
    _xlfn.LET(
        _xlpm.risultato,
        IFERROR(
            _xlfn.XLOOKUP(TRIM(UPPER(G85)),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pacchetti'!$E$1:$E$530))=TRIM(UPPER(G85)),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85" s="14" t="str" cm="1">
        <f t="array" ref="E85">IF(TRIM($B85)="SG-ANAGRAFE", "Bugni Batte",
    IF(TRIM($B85)="DW01A", "Cauda",
        IFERROR(
            VLOOKUP(
                INDEX('[1]Dettaglio pacchetti'!$AB$1:$AB$530,
                    _xlfn.AGGREGATE(15, 6,
                        (ROW($1:$345))/(ISNUMBER(SEARCH('[1]Dettaglio pacchetti'!$AB$1:$AB$530, $C85))),
                        1)
                ) &amp; "*",
                '[1]Dettaglio pacchetti'!$A$1:$I$530,
                3,
                FALSE
            ),
            IFERROR(VLOOKUP($C85, '[1]Dettaglio pacchetti'!$A$1:$I$530, 3, FALSE), "")
        )
    )
)</f>
        <v/>
      </c>
      <c r="F85" s="14" t="str" cm="1">
        <f t="array" ref="F85">IF(TRIM($B85)="DW01A", "ETL - EDW Estrattori",
    IFERROR(
        VLOOKUP(
            INDEX('[1]Dettaglio pacchetti'!$AB$1:$AB$530,
                _xlfn.AGGREGATE(15, 6,
                    (ROW($1:$345))/(ISNUMBER(SEARCH('[1]Dettaglio pacchetti'!$AB$1:$AB$530, $C85))),
                    1)
            ) &amp; "*",
            '[1]Dettaglio pacchetti'!$A$1:$I$530,
            4,
            FALSE
        ),
        IFERROR(VLOOKUP($C85, '[1]Dettaglio pacchetti'!$A$1:$I$530, 4, FALSE), "")
    )
)</f>
        <v/>
      </c>
      <c r="G85" s="14" t="str" cm="1">
        <f t="array" ref="G85">IF(TRIM($B85)="DW01A", "ETL - EDW Estrattori",
    IF(TRIM($B85)="SG-ANAGRAFE", "SIGEA Anagrafe",
        IFERROR(
            VLOOKUP(
                INDEX('[1]Dettaglio pacchetti'!$AB$1:$AB$530,
                    _xlfn.AGGREGATE(15, 6,
                        (ROW($1:$345))/(ISNUMBER(SEARCH('[1]Dettaglio pacchetti'!$AB$1:$AB$530, $C85))),
                        1)
                ) &amp; "*",
                '[1]Dettaglio pacchetti'!$A$1:$I$530,
                5,
                FALSE
            ),
            IFERROR(VLOOKUP($C85, '[1]Dettaglio pacchetti'!$A$1:$I$530, 5, FALSE), "")
        )
    )
)</f>
        <v/>
      </c>
      <c r="H85" s="14" t="str" cm="1">
        <f t="array" ref="H85">IFERROR(
    VLOOKUP(
        INDEX('[1]Dettaglio pacchetti'!$AB$1:$AB$530,
            _xlfn.AGGREGATE(15, 6,
                (ROW($1:$345))/(ISNUMBER(SEARCH('[1]Dettaglio pacchetti'!$AB$1:$AB$530, $C85))),
                1)
        ) &amp; "*",
        '[1]Dettaglio pacchetti'!$A$1:$I$530,
        6,
        FALSE
    ),
    IFERROR(VLOOKUP($C85, '[1]Dettaglio pacchetti'!$A$1:$I$530, 6, FALSE), "")
)</f>
        <v/>
      </c>
      <c r="I85" s="7" t="str">
        <f t="shared" si="6"/>
        <v/>
      </c>
      <c r="J85" t="str">
        <f t="shared" si="4"/>
        <v/>
      </c>
      <c r="K85" t="str">
        <f t="shared" si="5"/>
        <v/>
      </c>
      <c r="L85" s="14" t="str" cm="1">
        <f t="array" ref="L85">IFERROR(
    VLOOKUP(
        INDEX('[1]Dettaglio pacchetti'!$AB$1:$AB$530,
            _xlfn.AGGREGATE(15, 6,
                ROW($1:$345)/(ISNUMBER(SEARCH('[1]Dettaglio pacchetti'!$AB$1:$AB$530, $C85))),
                1)
        ) &amp; "*",
        '[1]Dettaglio pacchetti'!$A$1:$I$530,
        8,
        FALSE
    ),
    IFERROR(VLOOKUP($C85, '[1]Dettaglio pacchetti'!$A$1:$I$530, 8, FALSE), "")
)</f>
        <v/>
      </c>
      <c r="M85" s="14" t="str" cm="1">
        <f t="array" ref="M85">IFERROR(
    VLOOKUP(
        INDEX('[1]Dettaglio pacchetti'!$AB$1:$AB$530,
            _xlfn.AGGREGATE(15, 6,
                ROW($1:$345)/(ISNUMBER(SEARCH('[1]Dettaglio pacchetti'!$AB$1:$AB$530, $C85))),
                1)
        ) &amp; "*",
        '[1]Dettaglio pacchetti'!$A$1:$I$530,
        9,
        FALSE
    ),
    IFERROR(VLOOKUP($C85, '[1]Dettaglio pacchetti'!$A$1:$I$530, 9, FALSE), "")
)</f>
        <v/>
      </c>
      <c r="N85" s="7"/>
      <c r="P85" s="6"/>
      <c r="AA85" t="str" cm="1">
        <f t="array" ref="AA85">IFERROR(VLOOKUP(INDEX('[1]Dettaglio pacchetti'!$AB$1:$AB$530, _xlfn.AGGREGATE(15, 6, (ROW($1:$345))/(ISNUMBER(SEARCH('[1]Dettaglio pacchetti'!$AB$1:$AB$530, $C85))), 1)) &amp; "*", '[1]Dettaglio pacchetti'!$A$1:$N$530, 13, FALSE) &amp; "", "")</f>
        <v/>
      </c>
      <c r="AB85" t="str" cm="1">
        <f t="array" ref="AB85">IF(ISNUMBER(SEARCH("dev.azure.com", AA85)), IFERROR(VLOOKUP(INDEX('[1]Dettaglio pacchetti'!$AB$1:$AB$530, _xlfn.AGGREGATE(15, 6, (ROW($1:$345))/(ISNUMBER(SEARCH('[1]Dettaglio pacchetti'!$AB$1:$AB$530, $C85))), 1)) &amp; "*", '[1]Dettaglio pacchetti'!$A$1:$N$530, 1, FALSE) &amp; "", ""), "")</f>
        <v/>
      </c>
      <c r="AC85" t="str" cm="1">
        <f t="array" ref="AC85">IFERROR(
    VLOOKUP(
        INDEX('[1]Dettaglio pacchetti'!$AB$1:$AB$530, _xlfn.AGGREGATE(15,6,ROW($1:$345)/(ISNUMBER(SEARCH('[1]Dettaglio pacchetti'!$AB$1:$AB$530,$C85))),1)) &amp; "*",
        '[1]Dettaglio pacchetti'!$A$1:$I$530,
        7,
        FALSE
    ),
    IFERROR(VLOOKUP($C85, '[1]Dettaglio pacchetti'!$A$1:$I$530, 7, FALSE), "")
)</f>
        <v/>
      </c>
      <c r="AD85" t="str" cm="1">
        <f t="array" ref="AD85">IFERROR(
    VLOOKUP(
        INDEX('[1]Dettaglio pacchetti'!$AB$1:$AB$530, _xlfn.AGGREGATE(15,6,ROW($1:$345)/(ISNUMBER(SEARCH('[1]Dettaglio pacchetti'!$AB$1:$AB$530,$C85))),1)) &amp; "*",
        '[1]Dettaglio pacchetti'!$A$1:$I$530,
        6,
        FALSE
    ),
    IFERROR(VLOOKUP($C85, '[1]Dettaglio pacchetti'!$A$1:$I$530, 6, FALSE), "")
)</f>
        <v/>
      </c>
    </row>
    <row r="86" spans="2:30" ht="19.5" hidden="1" customHeight="1" x14ac:dyDescent="0.3">
      <c r="B86" s="17"/>
      <c r="C86" s="14"/>
      <c r="D86" s="20" t="str" cm="1">
        <f t="array" ref="D86">IFERROR(
    _xlfn.LET(
        _xlpm.risultato,
        IFERROR(
            _xlfn.XLOOKUP(TRIM(UPPER(G86)),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pacchetti'!$E$1:$E$530))=TRIM(UPPER(G86)),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86" s="14" t="str" cm="1">
        <f t="array" ref="E86">IF(TRIM($B86)="SG-ANAGRAFE", "Bugni Batte",
    IF(TRIM($B86)="DW01A", "Cauda",
        IFERROR(
            VLOOKUP(
                INDEX('[1]Dettaglio pacchetti'!$AB$1:$AB$530,
                    _xlfn.AGGREGATE(15, 6,
                        (ROW($1:$345))/(ISNUMBER(SEARCH('[1]Dettaglio pacchetti'!$AB$1:$AB$530, $C86))),
                        1)
                ) &amp; "*",
                '[1]Dettaglio pacchetti'!$A$1:$I$530,
                3,
                FALSE
            ),
            IFERROR(VLOOKUP($C86, '[1]Dettaglio pacchetti'!$A$1:$I$530, 3, FALSE), "")
        )
    )
)</f>
        <v/>
      </c>
      <c r="F86" s="14" t="str" cm="1">
        <f t="array" ref="F86">IF(TRIM($B86)="DW01A", "ETL - EDW Estrattori",
    IFERROR(
        VLOOKUP(
            INDEX('[1]Dettaglio pacchetti'!$AB$1:$AB$530,
                _xlfn.AGGREGATE(15, 6,
                    (ROW($1:$345))/(ISNUMBER(SEARCH('[1]Dettaglio pacchetti'!$AB$1:$AB$530, $C86))),
                    1)
            ) &amp; "*",
            '[1]Dettaglio pacchetti'!$A$1:$I$530,
            4,
            FALSE
        ),
        IFERROR(VLOOKUP($C86, '[1]Dettaglio pacchetti'!$A$1:$I$530, 4, FALSE), "")
    )
)</f>
        <v/>
      </c>
      <c r="G86" s="14" t="str" cm="1">
        <f t="array" ref="G86">IF(TRIM($B86)="DW01A", "ETL - EDW Estrattori",
    IF(TRIM($B86)="SG-ANAGRAFE", "SIGEA Anagrafe",
        IFERROR(
            VLOOKUP(
                INDEX('[1]Dettaglio pacchetti'!$AB$1:$AB$530,
                    _xlfn.AGGREGATE(15, 6,
                        (ROW($1:$345))/(ISNUMBER(SEARCH('[1]Dettaglio pacchetti'!$AB$1:$AB$530, $C86))),
                        1)
                ) &amp; "*",
                '[1]Dettaglio pacchetti'!$A$1:$I$530,
                5,
                FALSE
            ),
            IFERROR(VLOOKUP($C86, '[1]Dettaglio pacchetti'!$A$1:$I$530, 5, FALSE), "")
        )
    )
)</f>
        <v/>
      </c>
      <c r="H86" s="14" t="str" cm="1">
        <f t="array" ref="H86">IFERROR(
    VLOOKUP(
        INDEX('[1]Dettaglio pacchetti'!$AB$1:$AB$530,
            _xlfn.AGGREGATE(15, 6,
                (ROW($1:$345))/(ISNUMBER(SEARCH('[1]Dettaglio pacchetti'!$AB$1:$AB$530, $C86))),
                1)
        ) &amp; "*",
        '[1]Dettaglio pacchetti'!$A$1:$I$530,
        6,
        FALSE
    ),
    IFERROR(VLOOKUP($C86, '[1]Dettaglio pacchetti'!$A$1:$I$530, 6, FALSE), "")
)</f>
        <v/>
      </c>
      <c r="I86" s="7" t="str">
        <f t="shared" si="6"/>
        <v/>
      </c>
      <c r="J86" t="str">
        <f t="shared" si="4"/>
        <v/>
      </c>
      <c r="K86" t="str">
        <f t="shared" si="5"/>
        <v/>
      </c>
      <c r="L86" s="14" t="str" cm="1">
        <f t="array" ref="L86">IFERROR(
    VLOOKUP(
        INDEX('[1]Dettaglio pacchetti'!$AB$1:$AB$530,
            _xlfn.AGGREGATE(15, 6,
                ROW($1:$345)/(ISNUMBER(SEARCH('[1]Dettaglio pacchetti'!$AB$1:$AB$530, $C86))),
                1)
        ) &amp; "*",
        '[1]Dettaglio pacchetti'!$A$1:$I$530,
        8,
        FALSE
    ),
    IFERROR(VLOOKUP($C86, '[1]Dettaglio pacchetti'!$A$1:$I$530, 8, FALSE), "")
)</f>
        <v/>
      </c>
      <c r="M86" s="14" t="str" cm="1">
        <f t="array" ref="M86">IFERROR(
    VLOOKUP(
        INDEX('[1]Dettaglio pacchetti'!$AB$1:$AB$530,
            _xlfn.AGGREGATE(15, 6,
                ROW($1:$345)/(ISNUMBER(SEARCH('[1]Dettaglio pacchetti'!$AB$1:$AB$530, $C86))),
                1)
        ) &amp; "*",
        '[1]Dettaglio pacchetti'!$A$1:$I$530,
        9,
        FALSE
    ),
    IFERROR(VLOOKUP($C86, '[1]Dettaglio pacchetti'!$A$1:$I$530, 9, FALSE), "")
)</f>
        <v/>
      </c>
      <c r="N86" s="7"/>
      <c r="P86" s="6"/>
      <c r="AA86" t="str" cm="1">
        <f t="array" ref="AA86">IFERROR(VLOOKUP(INDEX('[1]Dettaglio pacchetti'!$AB$1:$AB$530, _xlfn.AGGREGATE(15, 6, (ROW($1:$345))/(ISNUMBER(SEARCH('[1]Dettaglio pacchetti'!$AB$1:$AB$530, $C86))), 1)) &amp; "*", '[1]Dettaglio pacchetti'!$A$1:$N$530, 13, FALSE) &amp; "", "")</f>
        <v/>
      </c>
      <c r="AB86" t="str" cm="1">
        <f t="array" ref="AB86">IF(ISNUMBER(SEARCH("dev.azure.com", AA86)), IFERROR(VLOOKUP(INDEX('[1]Dettaglio pacchetti'!$AB$1:$AB$530, _xlfn.AGGREGATE(15, 6, (ROW($1:$345))/(ISNUMBER(SEARCH('[1]Dettaglio pacchetti'!$AB$1:$AB$530, $C86))), 1)) &amp; "*", '[1]Dettaglio pacchetti'!$A$1:$N$530, 1, FALSE) &amp; "", ""), "")</f>
        <v/>
      </c>
      <c r="AC86" t="str" cm="1">
        <f t="array" ref="AC86">IFERROR(
    VLOOKUP(
        INDEX('[1]Dettaglio pacchetti'!$AB$1:$AB$530, _xlfn.AGGREGATE(15,6,ROW($1:$345)/(ISNUMBER(SEARCH('[1]Dettaglio pacchetti'!$AB$1:$AB$530,$C86))),1)) &amp; "*",
        '[1]Dettaglio pacchetti'!$A$1:$I$530,
        7,
        FALSE
    ),
    IFERROR(VLOOKUP($C86, '[1]Dettaglio pacchetti'!$A$1:$I$530, 7, FALSE), "")
)</f>
        <v/>
      </c>
      <c r="AD86" t="str" cm="1">
        <f t="array" ref="AD86">IFERROR(
    VLOOKUP(
        INDEX('[1]Dettaglio pacchetti'!$AB$1:$AB$530, _xlfn.AGGREGATE(15,6,ROW($1:$345)/(ISNUMBER(SEARCH('[1]Dettaglio pacchetti'!$AB$1:$AB$530,$C86))),1)) &amp; "*",
        '[1]Dettaglio pacchetti'!$A$1:$I$530,
        6,
        FALSE
    ),
    IFERROR(VLOOKUP($C86, '[1]Dettaglio pacchetti'!$A$1:$I$530, 6, FALSE), "")
)</f>
        <v/>
      </c>
    </row>
    <row r="87" spans="2:30" hidden="1" x14ac:dyDescent="0.3">
      <c r="B87" s="17"/>
      <c r="C87" s="14"/>
      <c r="D87" s="20" t="str" cm="1">
        <f t="array" ref="D87">IFERROR(
    _xlfn.LET(
        _xlpm.risultato,
        IFERROR(
            _xlfn.XLOOKUP(TRIM(UPPER(G87)),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pacchetti'!$E$1:$E$530))=TRIM(UPPER(G87)),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87" s="14" t="str" cm="1">
        <f t="array" ref="E87">IF(TRIM($B87)="SG-ANAGRAFE", "Bugni Batte",
    IF(TRIM($B87)="DW01A", "Cauda",
        IFERROR(
            VLOOKUP(
                INDEX('[1]Dettaglio pacchetti'!$AB$1:$AB$530,
                    _xlfn.AGGREGATE(15, 6,
                        (ROW($1:$345))/(ISNUMBER(SEARCH('[1]Dettaglio pacchetti'!$AB$1:$AB$530, $C87))),
                        1)
                ) &amp; "*",
                '[1]Dettaglio pacchetti'!$A$1:$I$530,
                3,
                FALSE
            ),
            IFERROR(VLOOKUP($C87, '[1]Dettaglio pacchetti'!$A$1:$I$530, 3, FALSE), "")
        )
    )
)</f>
        <v/>
      </c>
      <c r="F87" s="14" t="str" cm="1">
        <f t="array" ref="F87">IF(TRIM($B87)="DW01A", "ETL - EDW Estrattori",
    IFERROR(
        VLOOKUP(
            INDEX('[1]Dettaglio pacchetti'!$AB$1:$AB$530,
                _xlfn.AGGREGATE(15, 6,
                    (ROW($1:$345))/(ISNUMBER(SEARCH('[1]Dettaglio pacchetti'!$AB$1:$AB$530, $C87))),
                    1)
            ) &amp; "*",
            '[1]Dettaglio pacchetti'!$A$1:$I$530,
            4,
            FALSE
        ),
        IFERROR(VLOOKUP($C87, '[1]Dettaglio pacchetti'!$A$1:$I$530, 4, FALSE), "")
    )
)</f>
        <v/>
      </c>
      <c r="G87" s="14" t="str" cm="1">
        <f t="array" ref="G87">IF(TRIM($B87)="DW01A", "ETL - EDW Estrattori",
    IF(TRIM($B87)="SG-ANAGRAFE", "SIGEA Anagrafe",
        IFERROR(
            VLOOKUP(
                INDEX('[1]Dettaglio pacchetti'!$AB$1:$AB$530,
                    _xlfn.AGGREGATE(15, 6,
                        (ROW($1:$345))/(ISNUMBER(SEARCH('[1]Dettaglio pacchetti'!$AB$1:$AB$530, $C87))),
                        1)
                ) &amp; "*",
                '[1]Dettaglio pacchetti'!$A$1:$I$530,
                5,
                FALSE
            ),
            IFERROR(VLOOKUP($C87, '[1]Dettaglio pacchetti'!$A$1:$I$530, 5, FALSE), "")
        )
    )
)</f>
        <v/>
      </c>
      <c r="H87" s="14" t="str" cm="1">
        <f t="array" ref="H87">IFERROR(
    VLOOKUP(
        INDEX('[1]Dettaglio pacchetti'!$AB$1:$AB$530,
            _xlfn.AGGREGATE(15, 6,
                (ROW($1:$345))/(ISNUMBER(SEARCH('[1]Dettaglio pacchetti'!$AB$1:$AB$530, $C87))),
                1)
        ) &amp; "*",
        '[1]Dettaglio pacchetti'!$A$1:$I$530,
        6,
        FALSE
    ),
    IFERROR(VLOOKUP($C87, '[1]Dettaglio pacchetti'!$A$1:$I$530, 6, FALSE), "")
)</f>
        <v/>
      </c>
      <c r="I87" s="7" t="str">
        <f t="shared" si="6"/>
        <v/>
      </c>
      <c r="J87" t="str">
        <f t="shared" si="4"/>
        <v/>
      </c>
      <c r="K87" t="str">
        <f t="shared" si="5"/>
        <v/>
      </c>
      <c r="L87" s="14" t="str" cm="1">
        <f t="array" ref="L87">IFERROR(
    VLOOKUP(
        INDEX('[1]Dettaglio pacchetti'!$AB$1:$AB$530,
            _xlfn.AGGREGATE(15, 6,
                ROW($1:$345)/(ISNUMBER(SEARCH('[1]Dettaglio pacchetti'!$AB$1:$AB$530, $C87))),
                1)
        ) &amp; "*",
        '[1]Dettaglio pacchetti'!$A$1:$I$530,
        8,
        FALSE
    ),
    IFERROR(VLOOKUP($C87, '[1]Dettaglio pacchetti'!$A$1:$I$530, 8, FALSE), "")
)</f>
        <v/>
      </c>
      <c r="M87" s="14" t="str" cm="1">
        <f t="array" ref="M87">IFERROR(
    VLOOKUP(
        INDEX('[1]Dettaglio pacchetti'!$AB$1:$AB$530,
            _xlfn.AGGREGATE(15, 6,
                ROW($1:$345)/(ISNUMBER(SEARCH('[1]Dettaglio pacchetti'!$AB$1:$AB$530, $C87))),
                1)
        ) &amp; "*",
        '[1]Dettaglio pacchetti'!$A$1:$I$530,
        9,
        FALSE
    ),
    IFERROR(VLOOKUP($C87, '[1]Dettaglio pacchetti'!$A$1:$I$530, 9, FALSE), "")
)</f>
        <v/>
      </c>
      <c r="N87" s="7"/>
      <c r="P87" s="6"/>
      <c r="AA87" t="str" cm="1">
        <f t="array" ref="AA87">IFERROR(VLOOKUP(INDEX('[1]Dettaglio pacchetti'!$AB$1:$AB$530, _xlfn.AGGREGATE(15, 6, (ROW($1:$345))/(ISNUMBER(SEARCH('[1]Dettaglio pacchetti'!$AB$1:$AB$530, $C87))), 1)) &amp; "*", '[1]Dettaglio pacchetti'!$A$1:$N$530, 13, FALSE) &amp; "", "")</f>
        <v/>
      </c>
      <c r="AB87" t="str" cm="1">
        <f t="array" ref="AB87">IF(ISNUMBER(SEARCH("dev.azure.com", AA87)), IFERROR(VLOOKUP(INDEX('[1]Dettaglio pacchetti'!$AB$1:$AB$530, _xlfn.AGGREGATE(15, 6, (ROW($1:$345))/(ISNUMBER(SEARCH('[1]Dettaglio pacchetti'!$AB$1:$AB$530, $C87))), 1)) &amp; "*", '[1]Dettaglio pacchetti'!$A$1:$N$530, 1, FALSE) &amp; "", ""), "")</f>
        <v/>
      </c>
      <c r="AC87" t="str" cm="1">
        <f t="array" ref="AC87">IFERROR(
    VLOOKUP(
        INDEX('[1]Dettaglio pacchetti'!$AB$1:$AB$530, _xlfn.AGGREGATE(15,6,ROW($1:$345)/(ISNUMBER(SEARCH('[1]Dettaglio pacchetti'!$AB$1:$AB$530,$C87))),1)) &amp; "*",
        '[1]Dettaglio pacchetti'!$A$1:$I$530,
        7,
        FALSE
    ),
    IFERROR(VLOOKUP($C87, '[1]Dettaglio pacchetti'!$A$1:$I$530, 7, FALSE), "")
)</f>
        <v/>
      </c>
      <c r="AD87" t="str" cm="1">
        <f t="array" ref="AD87">IFERROR(
    VLOOKUP(
        INDEX('[1]Dettaglio pacchetti'!$AB$1:$AB$530, _xlfn.AGGREGATE(15,6,ROW($1:$345)/(ISNUMBER(SEARCH('[1]Dettaglio pacchetti'!$AB$1:$AB$530,$C87))),1)) &amp; "*",
        '[1]Dettaglio pacchetti'!$A$1:$I$530,
        6,
        FALSE
    ),
    IFERROR(VLOOKUP($C87, '[1]Dettaglio pacchetti'!$A$1:$I$530, 6, FALSE), "")
)</f>
        <v/>
      </c>
    </row>
    <row r="88" spans="2:30" hidden="1" x14ac:dyDescent="0.3">
      <c r="B88" s="17"/>
      <c r="C88" s="14"/>
      <c r="D88" s="20" t="str" cm="1">
        <f t="array" ref="D88">IFERROR(
    _xlfn.LET(
        _xlpm.risultato,
        IFERROR(
            _xlfn.XLOOKUP(TRIM(UPPER(G88)),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pacchetti'!$E$1:$E$530))=TRIM(UPPER(G88)),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88" s="14" t="str" cm="1">
        <f t="array" ref="E88">IF(TRIM($B88)="SG-ANAGRAFE", "Bugni Batte",
    IF(TRIM($B88)="DW01A", "Cauda",
        IFERROR(
            VLOOKUP(
                INDEX('[1]Dettaglio pacchetti'!$AB$1:$AB$530,
                    _xlfn.AGGREGATE(15, 6,
                        (ROW($1:$345))/(ISNUMBER(SEARCH('[1]Dettaglio pacchetti'!$AB$1:$AB$530, $C88))),
                        1)
                ) &amp; "*",
                '[1]Dettaglio pacchetti'!$A$1:$I$530,
                3,
                FALSE
            ),
            IFERROR(VLOOKUP($C88, '[1]Dettaglio pacchetti'!$A$1:$I$530, 3, FALSE), "")
        )
    )
)</f>
        <v/>
      </c>
      <c r="F88" s="14" t="str" cm="1">
        <f t="array" ref="F88">IF(TRIM($B88)="DW01A", "ETL - EDW Estrattori",
    IFERROR(
        VLOOKUP(
            INDEX('[1]Dettaglio pacchetti'!$AB$1:$AB$530,
                _xlfn.AGGREGATE(15, 6,
                    (ROW($1:$345))/(ISNUMBER(SEARCH('[1]Dettaglio pacchetti'!$AB$1:$AB$530, $C88))),
                    1)
            ) &amp; "*",
            '[1]Dettaglio pacchetti'!$A$1:$I$530,
            4,
            FALSE
        ),
        IFERROR(VLOOKUP($C88, '[1]Dettaglio pacchetti'!$A$1:$I$530, 4, FALSE), "")
    )
)</f>
        <v/>
      </c>
      <c r="G88" s="14" t="str" cm="1">
        <f t="array" ref="G88">IF(TRIM($B88)="DW01A", "ETL - EDW Estrattori",
    IF(TRIM($B88)="SG-ANAGRAFE", "SIGEA Anagrafe",
        IFERROR(
            VLOOKUP(
                INDEX('[1]Dettaglio pacchetti'!$AB$1:$AB$530,
                    _xlfn.AGGREGATE(15, 6,
                        (ROW($1:$345))/(ISNUMBER(SEARCH('[1]Dettaglio pacchetti'!$AB$1:$AB$530, $C88))),
                        1)
                ) &amp; "*",
                '[1]Dettaglio pacchetti'!$A$1:$I$530,
                5,
                FALSE
            ),
            IFERROR(VLOOKUP($C88, '[1]Dettaglio pacchetti'!$A$1:$I$530, 5, FALSE), "")
        )
    )
)</f>
        <v/>
      </c>
      <c r="H88" s="14" t="str" cm="1">
        <f t="array" ref="H88">IFERROR(
    VLOOKUP(
        INDEX('[1]Dettaglio pacchetti'!$AB$1:$AB$530,
            _xlfn.AGGREGATE(15, 6,
                (ROW($1:$345))/(ISNUMBER(SEARCH('[1]Dettaglio pacchetti'!$AB$1:$AB$530, $C88))),
                1)
        ) &amp; "*",
        '[1]Dettaglio pacchetti'!$A$1:$I$530,
        6,
        FALSE
    ),
    IFERROR(VLOOKUP($C88, '[1]Dettaglio pacchetti'!$A$1:$I$530, 6, FALSE), "")
)</f>
        <v/>
      </c>
      <c r="I88" s="7" t="str">
        <f t="shared" si="6"/>
        <v/>
      </c>
      <c r="J88" t="str">
        <f t="shared" si="4"/>
        <v/>
      </c>
      <c r="K88" t="str">
        <f t="shared" si="5"/>
        <v/>
      </c>
      <c r="L88" s="14" t="str" cm="1">
        <f t="array" ref="L88">IFERROR(
    VLOOKUP(
        INDEX('[1]Dettaglio pacchetti'!$AB$1:$AB$530,
            _xlfn.AGGREGATE(15, 6,
                ROW($1:$345)/(ISNUMBER(SEARCH('[1]Dettaglio pacchetti'!$AB$1:$AB$530, $C88))),
                1)
        ) &amp; "*",
        '[1]Dettaglio pacchetti'!$A$1:$I$530,
        8,
        FALSE
    ),
    IFERROR(VLOOKUP($C88, '[1]Dettaglio pacchetti'!$A$1:$I$530, 8, FALSE), "")
)</f>
        <v/>
      </c>
      <c r="M88" s="14" t="str" cm="1">
        <f t="array" ref="M88">IFERROR(
    VLOOKUP(
        INDEX('[1]Dettaglio pacchetti'!$AB$1:$AB$530,
            _xlfn.AGGREGATE(15, 6,
                ROW($1:$345)/(ISNUMBER(SEARCH('[1]Dettaglio pacchetti'!$AB$1:$AB$530, $C88))),
                1)
        ) &amp; "*",
        '[1]Dettaglio pacchetti'!$A$1:$I$530,
        9,
        FALSE
    ),
    IFERROR(VLOOKUP($C88, '[1]Dettaglio pacchetti'!$A$1:$I$530, 9, FALSE), "")
)</f>
        <v/>
      </c>
      <c r="N88" s="7"/>
      <c r="P88" s="6"/>
      <c r="AA88" t="str" cm="1">
        <f t="array" ref="AA88">IFERROR(VLOOKUP(INDEX('[1]Dettaglio pacchetti'!$AB$1:$AB$530, _xlfn.AGGREGATE(15, 6, (ROW($1:$345))/(ISNUMBER(SEARCH('[1]Dettaglio pacchetti'!$AB$1:$AB$530, $C88))), 1)) &amp; "*", '[1]Dettaglio pacchetti'!$A$1:$N$530, 13, FALSE) &amp; "", "")</f>
        <v/>
      </c>
      <c r="AB88" t="str" cm="1">
        <f t="array" ref="AB88">IF(ISNUMBER(SEARCH("dev.azure.com", AA88)), IFERROR(VLOOKUP(INDEX('[1]Dettaglio pacchetti'!$AB$1:$AB$530, _xlfn.AGGREGATE(15, 6, (ROW($1:$345))/(ISNUMBER(SEARCH('[1]Dettaglio pacchetti'!$AB$1:$AB$530, $C88))), 1)) &amp; "*", '[1]Dettaglio pacchetti'!$A$1:$N$530, 1, FALSE) &amp; "", ""), "")</f>
        <v/>
      </c>
      <c r="AC88" t="str" cm="1">
        <f t="array" ref="AC88">IFERROR(
    VLOOKUP(
        INDEX('[1]Dettaglio pacchetti'!$AB$1:$AB$530, _xlfn.AGGREGATE(15,6,ROW($1:$345)/(ISNUMBER(SEARCH('[1]Dettaglio pacchetti'!$AB$1:$AB$530,$C88))),1)) &amp; "*",
        '[1]Dettaglio pacchetti'!$A$1:$I$530,
        7,
        FALSE
    ),
    IFERROR(VLOOKUP($C88, '[1]Dettaglio pacchetti'!$A$1:$I$530, 7, FALSE), "")
)</f>
        <v/>
      </c>
      <c r="AD88" t="str" cm="1">
        <f t="array" ref="AD88">IFERROR(
    VLOOKUP(
        INDEX('[1]Dettaglio pacchetti'!$AB$1:$AB$530, _xlfn.AGGREGATE(15,6,ROW($1:$345)/(ISNUMBER(SEARCH('[1]Dettaglio pacchetti'!$AB$1:$AB$530,$C88))),1)) &amp; "*",
        '[1]Dettaglio pacchetti'!$A$1:$I$530,
        6,
        FALSE
    ),
    IFERROR(VLOOKUP($C88, '[1]Dettaglio pacchetti'!$A$1:$I$530, 6, FALSE), "")
)</f>
        <v/>
      </c>
    </row>
    <row r="89" spans="2:30" hidden="1" x14ac:dyDescent="0.3">
      <c r="C89" s="14"/>
      <c r="D89" s="20" t="str" cm="1">
        <f t="array" ref="D89">IFERROR(
    _xlfn.LET(
        _xlpm.risultato,
        IFERROR(
            _xlfn.XLOOKUP(TRIM(UPPER(G89)),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pacchetti'!$E$1:$E$530))=TRIM(UPPER(G89)),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89" s="14" t="str" cm="1">
        <f t="array" ref="E89">IF(TRIM($B89)="SG-ANAGRAFE", "Bugni Batte",
    IF(TRIM($B89)="DW01A", "Cauda",
        IFERROR(
            VLOOKUP(
                INDEX('[1]Dettaglio pacchetti'!$AB$1:$AB$530,
                    _xlfn.AGGREGATE(15, 6,
                        (ROW($1:$345))/(ISNUMBER(SEARCH('[1]Dettaglio pacchetti'!$AB$1:$AB$530, $C89))),
                        1)
                ) &amp; "*",
                '[1]Dettaglio pacchetti'!$A$1:$I$530,
                3,
                FALSE
            ),
            IFERROR(VLOOKUP($C89, '[1]Dettaglio pacchetti'!$A$1:$I$530, 3, FALSE), "")
        )
    )
)</f>
        <v/>
      </c>
      <c r="F89" s="14" t="str" cm="1">
        <f t="array" ref="F89">IF(TRIM($B89)="DW01A", "ETL - EDW Estrattori",
    IFERROR(
        VLOOKUP(
            INDEX('[1]Dettaglio pacchetti'!$AB$1:$AB$530,
                _xlfn.AGGREGATE(15, 6,
                    (ROW($1:$345))/(ISNUMBER(SEARCH('[1]Dettaglio pacchetti'!$AB$1:$AB$530, $C89))),
                    1)
            ) &amp; "*",
            '[1]Dettaglio pacchetti'!$A$1:$I$530,
            4,
            FALSE
        ),
        IFERROR(VLOOKUP($C89, '[1]Dettaglio pacchetti'!$A$1:$I$530, 4, FALSE), "")
    )
)</f>
        <v/>
      </c>
      <c r="G89" s="14" t="str" cm="1">
        <f t="array" ref="G89">IF(TRIM($B89)="DW01A", "ETL - EDW Estrattori",
    IF(TRIM($B89)="SG-ANAGRAFE", "SIGEA Anagrafe",
        IFERROR(
            VLOOKUP(
                INDEX('[1]Dettaglio pacchetti'!$AB$1:$AB$530,
                    _xlfn.AGGREGATE(15, 6,
                        (ROW($1:$345))/(ISNUMBER(SEARCH('[1]Dettaglio pacchetti'!$AB$1:$AB$530, $C89))),
                        1)
                ) &amp; "*",
                '[1]Dettaglio pacchetti'!$A$1:$I$530,
                5,
                FALSE
            ),
            IFERROR(VLOOKUP($C89, '[1]Dettaglio pacchetti'!$A$1:$I$530, 5, FALSE), "")
        )
    )
)</f>
        <v/>
      </c>
      <c r="H89" s="14" t="str" cm="1">
        <f t="array" ref="H89">IFERROR(
    VLOOKUP(
        INDEX('[1]Dettaglio pacchetti'!$AB$1:$AB$530,
            _xlfn.AGGREGATE(15, 6,
                (ROW($1:$345))/(ISNUMBER(SEARCH('[1]Dettaglio pacchetti'!$AB$1:$AB$530, $C89))),
                1)
        ) &amp; "*",
        '[1]Dettaglio pacchetti'!$A$1:$I$530,
        6,
        FALSE
    ),
    IFERROR(VLOOKUP($C89, '[1]Dettaglio pacchetti'!$A$1:$I$530, 6, FALSE), "")
)</f>
        <v/>
      </c>
      <c r="I89" s="7" t="str">
        <f t="shared" si="6"/>
        <v/>
      </c>
      <c r="J89" t="str">
        <f t="shared" si="4"/>
        <v/>
      </c>
      <c r="K89" t="str">
        <f t="shared" si="5"/>
        <v/>
      </c>
      <c r="L89" s="14" t="str" cm="1">
        <f t="array" ref="L89">IFERROR(
    VLOOKUP(
        INDEX('[1]Dettaglio pacchetti'!$AB$1:$AB$530,
            _xlfn.AGGREGATE(15, 6,
                ROW($1:$345)/(ISNUMBER(SEARCH('[1]Dettaglio pacchetti'!$AB$1:$AB$530, $C89))),
                1)
        ) &amp; "*",
        '[1]Dettaglio pacchetti'!$A$1:$I$530,
        8,
        FALSE
    ),
    IFERROR(VLOOKUP($C89, '[1]Dettaglio pacchetti'!$A$1:$I$530, 8, FALSE), "")
)</f>
        <v/>
      </c>
      <c r="M89" s="14" t="str" cm="1">
        <f t="array" ref="M89">IFERROR(
    VLOOKUP(
        INDEX('[1]Dettaglio pacchetti'!$AB$1:$AB$530,
            _xlfn.AGGREGATE(15, 6,
                ROW($1:$345)/(ISNUMBER(SEARCH('[1]Dettaglio pacchetti'!$AB$1:$AB$530, $C89))),
                1)
        ) &amp; "*",
        '[1]Dettaglio pacchetti'!$A$1:$I$530,
        9,
        FALSE
    ),
    IFERROR(VLOOKUP($C89, '[1]Dettaglio pacchetti'!$A$1:$I$530, 9, FALSE), "")
)</f>
        <v/>
      </c>
      <c r="N89" s="7"/>
      <c r="P89" s="6"/>
      <c r="AA89" t="str" cm="1">
        <f t="array" ref="AA89">IFERROR(VLOOKUP(INDEX('[1]Dettaglio pacchetti'!$AB$1:$AB$530, _xlfn.AGGREGATE(15, 6, (ROW($1:$345))/(ISNUMBER(SEARCH('[1]Dettaglio pacchetti'!$AB$1:$AB$530, $C89))), 1)) &amp; "*", '[1]Dettaglio pacchetti'!$A$1:$N$530, 13, FALSE) &amp; "", "")</f>
        <v/>
      </c>
      <c r="AB89" t="str" cm="1">
        <f t="array" ref="AB89">IF(ISNUMBER(SEARCH("dev.azure.com", AA89)), IFERROR(VLOOKUP(INDEX('[1]Dettaglio pacchetti'!$AB$1:$AB$530, _xlfn.AGGREGATE(15, 6, (ROW($1:$345))/(ISNUMBER(SEARCH('[1]Dettaglio pacchetti'!$AB$1:$AB$530, $C89))), 1)) &amp; "*", '[1]Dettaglio pacchetti'!$A$1:$N$530, 1, FALSE) &amp; "", ""), "")</f>
        <v/>
      </c>
      <c r="AC89" t="str" cm="1">
        <f t="array" ref="AC89">IFERROR(
    VLOOKUP(
        INDEX('[1]Dettaglio pacchetti'!$AB$1:$AB$530, _xlfn.AGGREGATE(15,6,ROW($1:$345)/(ISNUMBER(SEARCH('[1]Dettaglio pacchetti'!$AB$1:$AB$530,$C89))),1)) &amp; "*",
        '[1]Dettaglio pacchetti'!$A$1:$I$530,
        7,
        FALSE
    ),
    IFERROR(VLOOKUP($C89, '[1]Dettaglio pacchetti'!$A$1:$I$530, 7, FALSE), "")
)</f>
        <v/>
      </c>
      <c r="AD89" t="str" cm="1">
        <f t="array" ref="AD89">IFERROR(
    VLOOKUP(
        INDEX('[1]Dettaglio pacchetti'!$AB$1:$AB$530, _xlfn.AGGREGATE(15,6,ROW($1:$345)/(ISNUMBER(SEARCH('[1]Dettaglio pacchetti'!$AB$1:$AB$530,$C89))),1)) &amp; "*",
        '[1]Dettaglio pacchetti'!$A$1:$I$530,
        6,
        FALSE
    ),
    IFERROR(VLOOKUP($C89, '[1]Dettaglio pacchetti'!$A$1:$I$530, 6, FALSE), "")
)</f>
        <v/>
      </c>
    </row>
    <row r="90" spans="2:30" hidden="1" x14ac:dyDescent="0.3">
      <c r="C90" s="14"/>
      <c r="D90" s="20" t="str" cm="1">
        <f t="array" ref="D90">IFERROR(
    _xlfn.LET(
        _xlpm.risultato,
        IFERROR(
            _xlfn.XLOOKUP(TRIM(UPPER(G90)),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pacchetti'!$E$1:$E$530))=TRIM(UPPER(G90)),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90" s="14" t="str" cm="1">
        <f t="array" ref="E90">IF(TRIM($B90)="SG-ANAGRAFE", "Bugni Batte",
    IF(TRIM($B90)="DW01A", "Cauda",
        IFERROR(
            VLOOKUP(
                INDEX('[1]Dettaglio pacchetti'!$AB$1:$AB$530,
                    _xlfn.AGGREGATE(15, 6,
                        (ROW($1:$345))/(ISNUMBER(SEARCH('[1]Dettaglio pacchetti'!$AB$1:$AB$530, $C90))),
                        1)
                ) &amp; "*",
                '[1]Dettaglio pacchetti'!$A$1:$I$530,
                3,
                FALSE
            ),
            IFERROR(VLOOKUP($C90, '[1]Dettaglio pacchetti'!$A$1:$I$530, 3, FALSE), "")
        )
    )
)</f>
        <v/>
      </c>
      <c r="F90" s="14" t="str" cm="1">
        <f t="array" ref="F90">IF(TRIM($B90)="DW01A", "ETL - EDW Estrattori",
    IFERROR(
        VLOOKUP(
            INDEX('[1]Dettaglio pacchetti'!$AB$1:$AB$530,
                _xlfn.AGGREGATE(15, 6,
                    (ROW($1:$345))/(ISNUMBER(SEARCH('[1]Dettaglio pacchetti'!$AB$1:$AB$530, $C90))),
                    1)
            ) &amp; "*",
            '[1]Dettaglio pacchetti'!$A$1:$I$530,
            4,
            FALSE
        ),
        IFERROR(VLOOKUP($C90, '[1]Dettaglio pacchetti'!$A$1:$I$530, 4, FALSE), "")
    )
)</f>
        <v/>
      </c>
      <c r="G90" s="14" t="str" cm="1">
        <f t="array" ref="G90">IF(TRIM($B90)="DW01A", "ETL - EDW Estrattori",
    IF(TRIM($B90)="SG-ANAGRAFE", "SIGEA Anagrafe",
        IFERROR(
            VLOOKUP(
                INDEX('[1]Dettaglio pacchetti'!$AB$1:$AB$530,
                    _xlfn.AGGREGATE(15, 6,
                        (ROW($1:$345))/(ISNUMBER(SEARCH('[1]Dettaglio pacchetti'!$AB$1:$AB$530, $C90))),
                        1)
                ) &amp; "*",
                '[1]Dettaglio pacchetti'!$A$1:$I$530,
                5,
                FALSE
            ),
            IFERROR(VLOOKUP($C90, '[1]Dettaglio pacchetti'!$A$1:$I$530, 5, FALSE), "")
        )
    )
)</f>
        <v/>
      </c>
      <c r="H90" s="14" t="str" cm="1">
        <f t="array" ref="H90">IFERROR(
    VLOOKUP(
        INDEX('[1]Dettaglio pacchetti'!$AB$1:$AB$530,
            _xlfn.AGGREGATE(15, 6,
                (ROW($1:$345))/(ISNUMBER(SEARCH('[1]Dettaglio pacchetti'!$AB$1:$AB$530, $C90))),
                1)
        ) &amp; "*",
        '[1]Dettaglio pacchetti'!$A$1:$I$530,
        6,
        FALSE
    ),
    IFERROR(VLOOKUP($C90, '[1]Dettaglio pacchetti'!$A$1:$I$530, 6, FALSE), "")
)</f>
        <v/>
      </c>
      <c r="I90" s="7" t="str">
        <f t="shared" si="6"/>
        <v/>
      </c>
      <c r="J90" t="str">
        <f t="shared" si="4"/>
        <v/>
      </c>
      <c r="K90" t="str">
        <f t="shared" si="5"/>
        <v/>
      </c>
      <c r="L90" s="14" t="str" cm="1">
        <f t="array" ref="L90">IFERROR(
    VLOOKUP(
        INDEX('[1]Dettaglio pacchetti'!$AB$1:$AB$530,
            _xlfn.AGGREGATE(15, 6,
                ROW($1:$345)/(ISNUMBER(SEARCH('[1]Dettaglio pacchetti'!$AB$1:$AB$530, $C90))),
                1)
        ) &amp; "*",
        '[1]Dettaglio pacchetti'!$A$1:$I$530,
        8,
        FALSE
    ),
    IFERROR(VLOOKUP($C90, '[1]Dettaglio pacchetti'!$A$1:$I$530, 8, FALSE), "")
)</f>
        <v/>
      </c>
      <c r="M90" s="14" t="str" cm="1">
        <f t="array" ref="M90">IFERROR(
    VLOOKUP(
        INDEX('[1]Dettaglio pacchetti'!$AB$1:$AB$530,
            _xlfn.AGGREGATE(15, 6,
                ROW($1:$345)/(ISNUMBER(SEARCH('[1]Dettaglio pacchetti'!$AB$1:$AB$530, $C90))),
                1)
        ) &amp; "*",
        '[1]Dettaglio pacchetti'!$A$1:$I$530,
        9,
        FALSE
    ),
    IFERROR(VLOOKUP($C90, '[1]Dettaglio pacchetti'!$A$1:$I$530, 9, FALSE), "")
)</f>
        <v/>
      </c>
      <c r="N90" s="7"/>
      <c r="P90" s="6"/>
      <c r="AA90" t="str" cm="1">
        <f t="array" ref="AA90">IFERROR(VLOOKUP(INDEX('[1]Dettaglio pacchetti'!$AB$1:$AB$530, _xlfn.AGGREGATE(15, 6, (ROW($1:$345))/(ISNUMBER(SEARCH('[1]Dettaglio pacchetti'!$AB$1:$AB$530, $C90))), 1)) &amp; "*", '[1]Dettaglio pacchetti'!$A$1:$N$530, 13, FALSE) &amp; "", "")</f>
        <v/>
      </c>
      <c r="AB90" t="str" cm="1">
        <f t="array" ref="AB90">IF(ISNUMBER(SEARCH("dev.azure.com", AA90)), IFERROR(VLOOKUP(INDEX('[1]Dettaglio pacchetti'!$AB$1:$AB$530, _xlfn.AGGREGATE(15, 6, (ROW($1:$345))/(ISNUMBER(SEARCH('[1]Dettaglio pacchetti'!$AB$1:$AB$530, $C90))), 1)) &amp; "*", '[1]Dettaglio pacchetti'!$A$1:$N$530, 1, FALSE) &amp; "", ""), "")</f>
        <v/>
      </c>
      <c r="AC90" t="str" cm="1">
        <f t="array" ref="AC90">IFERROR(
    VLOOKUP(
        INDEX('[1]Dettaglio pacchetti'!$AB$1:$AB$530, _xlfn.AGGREGATE(15,6,ROW($1:$345)/(ISNUMBER(SEARCH('[1]Dettaglio pacchetti'!$AB$1:$AB$530,$C90))),1)) &amp; "*",
        '[1]Dettaglio pacchetti'!$A$1:$I$530,
        7,
        FALSE
    ),
    IFERROR(VLOOKUP($C90, '[1]Dettaglio pacchetti'!$A$1:$I$530, 7, FALSE), "")
)</f>
        <v/>
      </c>
      <c r="AD90" t="str" cm="1">
        <f t="array" ref="AD90">IFERROR(
    VLOOKUP(
        INDEX('[1]Dettaglio pacchetti'!$AB$1:$AB$530, _xlfn.AGGREGATE(15,6,ROW($1:$345)/(ISNUMBER(SEARCH('[1]Dettaglio pacchetti'!$AB$1:$AB$530,$C90))),1)) &amp; "*",
        '[1]Dettaglio pacchetti'!$A$1:$I$530,
        6,
        FALSE
    ),
    IFERROR(VLOOKUP($C90, '[1]Dettaglio pacchetti'!$A$1:$I$530, 6, FALSE), "")
)</f>
        <v/>
      </c>
    </row>
    <row r="91" spans="2:30" hidden="1" x14ac:dyDescent="0.3">
      <c r="C91" s="14"/>
      <c r="D91" s="20" t="str" cm="1">
        <f t="array" ref="D91">IFERROR(
    _xlfn.LET(
        _xlpm.risultato,
        IFERROR(
            _xlfn.XLOOKUP(TRIM(UPPER(G91)),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pacchetti'!$E$1:$E$530))=TRIM(UPPER(G91)),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91" s="14" t="str" cm="1">
        <f t="array" ref="E91">IF(TRIM($B91)="SG-ANAGRAFE", "Bugni Batte",
    IF(TRIM($B91)="DW01A", "Cauda",
        IFERROR(
            VLOOKUP(
                INDEX('[1]Dettaglio pacchetti'!$AB$1:$AB$530,
                    _xlfn.AGGREGATE(15, 6,
                        (ROW($1:$345))/(ISNUMBER(SEARCH('[1]Dettaglio pacchetti'!$AB$1:$AB$530, $C91))),
                        1)
                ) &amp; "*",
                '[1]Dettaglio pacchetti'!$A$1:$I$530,
                3,
                FALSE
            ),
            IFERROR(VLOOKUP($C91, '[1]Dettaglio pacchetti'!$A$1:$I$530, 3, FALSE), "")
        )
    )
)</f>
        <v/>
      </c>
      <c r="F91" s="14" t="str" cm="1">
        <f t="array" ref="F91">IF(TRIM($B91)="DW01A", "ETL - EDW Estrattori",
    IFERROR(
        VLOOKUP(
            INDEX('[1]Dettaglio pacchetti'!$AB$1:$AB$530,
                _xlfn.AGGREGATE(15, 6,
                    (ROW($1:$345))/(ISNUMBER(SEARCH('[1]Dettaglio pacchetti'!$AB$1:$AB$530, $C91))),
                    1)
            ) &amp; "*",
            '[1]Dettaglio pacchetti'!$A$1:$I$530,
            4,
            FALSE
        ),
        IFERROR(VLOOKUP($C91, '[1]Dettaglio pacchetti'!$A$1:$I$530, 4, FALSE), "")
    )
)</f>
        <v/>
      </c>
      <c r="G91" s="14" t="str" cm="1">
        <f t="array" ref="G91">IF(TRIM($B91)="DW01A", "ETL - EDW Estrattori",
    IF(TRIM($B91)="SG-ANAGRAFE", "SIGEA Anagrafe",
        IFERROR(
            VLOOKUP(
                INDEX('[1]Dettaglio pacchetti'!$AB$1:$AB$530,
                    _xlfn.AGGREGATE(15, 6,
                        (ROW($1:$345))/(ISNUMBER(SEARCH('[1]Dettaglio pacchetti'!$AB$1:$AB$530, $C91))),
                        1)
                ) &amp; "*",
                '[1]Dettaglio pacchetti'!$A$1:$I$530,
                5,
                FALSE
            ),
            IFERROR(VLOOKUP($C91, '[1]Dettaglio pacchetti'!$A$1:$I$530, 5, FALSE), "")
        )
    )
)</f>
        <v/>
      </c>
      <c r="H91" s="14" t="str" cm="1">
        <f t="array" ref="H91">IFERROR(
    VLOOKUP(
        INDEX('[1]Dettaglio pacchetti'!$AB$1:$AB$530,
            _xlfn.AGGREGATE(15, 6,
                (ROW($1:$345))/(ISNUMBER(SEARCH('[1]Dettaglio pacchetti'!$AB$1:$AB$530, $C91))),
                1)
        ) &amp; "*",
        '[1]Dettaglio pacchetti'!$A$1:$I$530,
        6,
        FALSE
    ),
    IFERROR(VLOOKUP($C91, '[1]Dettaglio pacchetti'!$A$1:$I$530, 6, FALSE), "")
)</f>
        <v/>
      </c>
      <c r="I91" s="7" t="str">
        <f t="shared" si="6"/>
        <v/>
      </c>
      <c r="J91" t="str">
        <f t="shared" si="4"/>
        <v/>
      </c>
      <c r="K91" t="str">
        <f t="shared" si="5"/>
        <v/>
      </c>
      <c r="L91" s="14" t="str" cm="1">
        <f t="array" ref="L91">IFERROR(
    VLOOKUP(
        INDEX('[1]Dettaglio pacchetti'!$AB$1:$AB$530,
            _xlfn.AGGREGATE(15, 6,
                ROW($1:$345)/(ISNUMBER(SEARCH('[1]Dettaglio pacchetti'!$AB$1:$AB$530, $C91))),
                1)
        ) &amp; "*",
        '[1]Dettaglio pacchetti'!$A$1:$I$530,
        8,
        FALSE
    ),
    IFERROR(VLOOKUP($C91, '[1]Dettaglio pacchetti'!$A$1:$I$530, 8, FALSE), "")
)</f>
        <v/>
      </c>
      <c r="M91" s="14" t="str" cm="1">
        <f t="array" ref="M91">IFERROR(
    VLOOKUP(
        INDEX('[1]Dettaglio pacchetti'!$AB$1:$AB$530,
            _xlfn.AGGREGATE(15, 6,
                ROW($1:$345)/(ISNUMBER(SEARCH('[1]Dettaglio pacchetti'!$AB$1:$AB$530, $C91))),
                1)
        ) &amp; "*",
        '[1]Dettaglio pacchetti'!$A$1:$I$530,
        9,
        FALSE
    ),
    IFERROR(VLOOKUP($C91, '[1]Dettaglio pacchetti'!$A$1:$I$530, 9, FALSE), "")
)</f>
        <v/>
      </c>
      <c r="N91" s="7"/>
      <c r="P91" s="6"/>
      <c r="AA91" t="str" cm="1">
        <f t="array" ref="AA91">IFERROR(VLOOKUP(INDEX('[1]Dettaglio pacchetti'!$AB$1:$AB$530, _xlfn.AGGREGATE(15, 6, (ROW($1:$345))/(ISNUMBER(SEARCH('[1]Dettaglio pacchetti'!$AB$1:$AB$530, $C91))), 1)) &amp; "*", '[1]Dettaglio pacchetti'!$A$1:$N$530, 13, FALSE) &amp; "", "")</f>
        <v/>
      </c>
      <c r="AB91" t="str" cm="1">
        <f t="array" ref="AB91">IF(ISNUMBER(SEARCH("dev.azure.com", AA91)), IFERROR(VLOOKUP(INDEX('[1]Dettaglio pacchetti'!$AB$1:$AB$530, _xlfn.AGGREGATE(15, 6, (ROW($1:$345))/(ISNUMBER(SEARCH('[1]Dettaglio pacchetti'!$AB$1:$AB$530, $C91))), 1)) &amp; "*", '[1]Dettaglio pacchetti'!$A$1:$N$530, 1, FALSE) &amp; "", ""), "")</f>
        <v/>
      </c>
      <c r="AC91" t="str" cm="1">
        <f t="array" ref="AC91">IFERROR(
    VLOOKUP(
        INDEX('[1]Dettaglio pacchetti'!$AB$1:$AB$530, _xlfn.AGGREGATE(15,6,ROW($1:$345)/(ISNUMBER(SEARCH('[1]Dettaglio pacchetti'!$AB$1:$AB$530,$C91))),1)) &amp; "*",
        '[1]Dettaglio pacchetti'!$A$1:$I$530,
        7,
        FALSE
    ),
    IFERROR(VLOOKUP($C91, '[1]Dettaglio pacchetti'!$A$1:$I$530, 7, FALSE), "")
)</f>
        <v/>
      </c>
      <c r="AD91" t="str" cm="1">
        <f t="array" ref="AD91">IFERROR(
    VLOOKUP(
        INDEX('[1]Dettaglio pacchetti'!$AB$1:$AB$530, _xlfn.AGGREGATE(15,6,ROW($1:$345)/(ISNUMBER(SEARCH('[1]Dettaglio pacchetti'!$AB$1:$AB$530,$C91))),1)) &amp; "*",
        '[1]Dettaglio pacchetti'!$A$1:$I$530,
        6,
        FALSE
    ),
    IFERROR(VLOOKUP($C91, '[1]Dettaglio pacchetti'!$A$1:$I$530, 6, FALSE), "")
)</f>
        <v/>
      </c>
    </row>
    <row r="92" spans="2:30" hidden="1" x14ac:dyDescent="0.3">
      <c r="C92" s="14"/>
      <c r="D92" s="20" t="str" cm="1">
        <f t="array" ref="D92">IFERROR(
    _xlfn.LET(
        _xlpm.risultato,
        IFERROR(
            _xlfn.XLOOKUP(TRIM(UPPER(G92)),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pacchetti'!$E$1:$E$530))=TRIM(UPPER(G92)),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92" s="14" t="str" cm="1">
        <f t="array" ref="E92">IF(TRIM($B92)="SG-ANAGRAFE", "Bugni Batte",
    IF(TRIM($B92)="DW01A", "Cauda",
        IFERROR(
            VLOOKUP(
                INDEX('[1]Dettaglio pacchetti'!$AB$1:$AB$530,
                    _xlfn.AGGREGATE(15, 6,
                        (ROW($1:$345))/(ISNUMBER(SEARCH('[1]Dettaglio pacchetti'!$AB$1:$AB$530, $C92))),
                        1)
                ) &amp; "*",
                '[1]Dettaglio pacchetti'!$A$1:$I$530,
                3,
                FALSE
            ),
            IFERROR(VLOOKUP($C92, '[1]Dettaglio pacchetti'!$A$1:$I$530, 3, FALSE), "")
        )
    )
)</f>
        <v/>
      </c>
      <c r="F92" s="14" t="str" cm="1">
        <f t="array" ref="F92">IF(TRIM($B92)="DW01A", "ETL - EDW Estrattori",
    IFERROR(
        VLOOKUP(
            INDEX('[1]Dettaglio pacchetti'!$AB$1:$AB$530,
                _xlfn.AGGREGATE(15, 6,
                    (ROW($1:$345))/(ISNUMBER(SEARCH('[1]Dettaglio pacchetti'!$AB$1:$AB$530, $C92))),
                    1)
            ) &amp; "*",
            '[1]Dettaglio pacchetti'!$A$1:$I$530,
            4,
            FALSE
        ),
        IFERROR(VLOOKUP($C92, '[1]Dettaglio pacchetti'!$A$1:$I$530, 4, FALSE), "")
    )
)</f>
        <v/>
      </c>
      <c r="G92" s="14" t="str" cm="1">
        <f t="array" ref="G92">IF(TRIM($B92)="DW01A", "ETL - EDW Estrattori",
    IF(TRIM($B92)="SG-ANAGRAFE", "SIGEA Anagrafe",
        IFERROR(
            VLOOKUP(
                INDEX('[1]Dettaglio pacchetti'!$AB$1:$AB$530,
                    _xlfn.AGGREGATE(15, 6,
                        (ROW($1:$345))/(ISNUMBER(SEARCH('[1]Dettaglio pacchetti'!$AB$1:$AB$530, $C92))),
                        1)
                ) &amp; "*",
                '[1]Dettaglio pacchetti'!$A$1:$I$530,
                5,
                FALSE
            ),
            IFERROR(VLOOKUP($C92, '[1]Dettaglio pacchetti'!$A$1:$I$530, 5, FALSE), "")
        )
    )
)</f>
        <v/>
      </c>
      <c r="H92" s="14" t="str" cm="1">
        <f t="array" ref="H92">IFERROR(
    VLOOKUP(
        INDEX('[1]Dettaglio pacchetti'!$AB$1:$AB$530,
            _xlfn.AGGREGATE(15, 6,
                (ROW($1:$345))/(ISNUMBER(SEARCH('[1]Dettaglio pacchetti'!$AB$1:$AB$530, $C92))),
                1)
        ) &amp; "*",
        '[1]Dettaglio pacchetti'!$A$1:$I$530,
        6,
        FALSE
    ),
    IFERROR(VLOOKUP($C92, '[1]Dettaglio pacchetti'!$A$1:$I$530, 6, FALSE), "")
)</f>
        <v/>
      </c>
      <c r="I92" s="7" t="str">
        <f t="shared" si="6"/>
        <v/>
      </c>
      <c r="J92" t="str">
        <f t="shared" si="4"/>
        <v/>
      </c>
      <c r="K92" t="str">
        <f t="shared" si="5"/>
        <v/>
      </c>
      <c r="L92" s="14" t="str" cm="1">
        <f t="array" ref="L92">IFERROR(
    VLOOKUP(
        INDEX('[1]Dettaglio pacchetti'!$AB$1:$AB$530,
            _xlfn.AGGREGATE(15, 6,
                ROW($1:$345)/(ISNUMBER(SEARCH('[1]Dettaglio pacchetti'!$AB$1:$AB$530, $C92))),
                1)
        ) &amp; "*",
        '[1]Dettaglio pacchetti'!$A$1:$I$530,
        8,
        FALSE
    ),
    IFERROR(VLOOKUP($C92, '[1]Dettaglio pacchetti'!$A$1:$I$530, 8, FALSE), "")
)</f>
        <v/>
      </c>
      <c r="M92" s="14" t="str" cm="1">
        <f t="array" ref="M92">IFERROR(
    VLOOKUP(
        INDEX('[1]Dettaglio pacchetti'!$AB$1:$AB$530,
            _xlfn.AGGREGATE(15, 6,
                ROW($1:$345)/(ISNUMBER(SEARCH('[1]Dettaglio pacchetti'!$AB$1:$AB$530, $C92))),
                1)
        ) &amp; "*",
        '[1]Dettaglio pacchetti'!$A$1:$I$530,
        9,
        FALSE
    ),
    IFERROR(VLOOKUP($C92, '[1]Dettaglio pacchetti'!$A$1:$I$530, 9, FALSE), "")
)</f>
        <v/>
      </c>
      <c r="N92" s="7"/>
      <c r="P92" s="6"/>
      <c r="AA92" t="str" cm="1">
        <f t="array" ref="AA92">IFERROR(VLOOKUP(INDEX('[1]Dettaglio pacchetti'!$AB$1:$AB$530, _xlfn.AGGREGATE(15, 6, (ROW($1:$345))/(ISNUMBER(SEARCH('[1]Dettaglio pacchetti'!$AB$1:$AB$530, $C92))), 1)) &amp; "*", '[1]Dettaglio pacchetti'!$A$1:$N$530, 13, FALSE) &amp; "", "")</f>
        <v/>
      </c>
      <c r="AB92" t="str" cm="1">
        <f t="array" ref="AB92">IF(ISNUMBER(SEARCH("dev.azure.com", AA92)), IFERROR(VLOOKUP(INDEX('[1]Dettaglio pacchetti'!$AB$1:$AB$530, _xlfn.AGGREGATE(15, 6, (ROW($1:$345))/(ISNUMBER(SEARCH('[1]Dettaglio pacchetti'!$AB$1:$AB$530, $C92))), 1)) &amp; "*", '[1]Dettaglio pacchetti'!$A$1:$N$530, 1, FALSE) &amp; "", ""), "")</f>
        <v/>
      </c>
      <c r="AC92" t="str" cm="1">
        <f t="array" ref="AC92">IFERROR(
    VLOOKUP(
        INDEX('[1]Dettaglio pacchetti'!$AB$1:$AB$530, _xlfn.AGGREGATE(15,6,ROW($1:$345)/(ISNUMBER(SEARCH('[1]Dettaglio pacchetti'!$AB$1:$AB$530,$C92))),1)) &amp; "*",
        '[1]Dettaglio pacchetti'!$A$1:$I$530,
        7,
        FALSE
    ),
    IFERROR(VLOOKUP($C92, '[1]Dettaglio pacchetti'!$A$1:$I$530, 7, FALSE), "")
)</f>
        <v/>
      </c>
      <c r="AD92" t="str" cm="1">
        <f t="array" ref="AD92">IFERROR(
    VLOOKUP(
        INDEX('[1]Dettaglio pacchetti'!$AB$1:$AB$530, _xlfn.AGGREGATE(15,6,ROW($1:$345)/(ISNUMBER(SEARCH('[1]Dettaglio pacchetti'!$AB$1:$AB$530,$C92))),1)) &amp; "*",
        '[1]Dettaglio pacchetti'!$A$1:$I$530,
        6,
        FALSE
    ),
    IFERROR(VLOOKUP($C92, '[1]Dettaglio pacchetti'!$A$1:$I$530, 6, FALSE), "")
)</f>
        <v/>
      </c>
    </row>
    <row r="93" spans="2:30" hidden="1" x14ac:dyDescent="0.3">
      <c r="C93" s="14"/>
      <c r="D93" s="20" t="str" cm="1">
        <f t="array" ref="D93">IFERROR(
    _xlfn.LET(
        _xlpm.risultato,
        IFERROR(
            _xlfn.XLOOKUP(TRIM(UPPER(G93)),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pacchetti'!$E$1:$E$530))=TRIM(UPPER(G93)),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93" s="14" t="str" cm="1">
        <f t="array" ref="E93">IF(TRIM($B93)="SG-ANAGRAFE", "Bugni Batte",
    IF(TRIM($B93)="DW01A", "Cauda",
        IFERROR(
            VLOOKUP(
                INDEX('[1]Dettaglio pacchetti'!$AB$1:$AB$530,
                    _xlfn.AGGREGATE(15, 6,
                        (ROW($1:$345))/(ISNUMBER(SEARCH('[1]Dettaglio pacchetti'!$AB$1:$AB$530, $C93))),
                        1)
                ) &amp; "*",
                '[1]Dettaglio pacchetti'!$A$1:$I$530,
                3,
                FALSE
            ),
            IFERROR(VLOOKUP($C93, '[1]Dettaglio pacchetti'!$A$1:$I$530, 3, FALSE), "")
        )
    )
)</f>
        <v/>
      </c>
      <c r="F93" s="14" t="str" cm="1">
        <f t="array" ref="F93">IF(TRIM($B93)="DW01A", "ETL - EDW Estrattori",
    IFERROR(
        VLOOKUP(
            INDEX('[1]Dettaglio pacchetti'!$AB$1:$AB$530,
                _xlfn.AGGREGATE(15, 6,
                    (ROW($1:$345))/(ISNUMBER(SEARCH('[1]Dettaglio pacchetti'!$AB$1:$AB$530, $C93))),
                    1)
            ) &amp; "*",
            '[1]Dettaglio pacchetti'!$A$1:$I$530,
            4,
            FALSE
        ),
        IFERROR(VLOOKUP($C93, '[1]Dettaglio pacchetti'!$A$1:$I$530, 4, FALSE), "")
    )
)</f>
        <v/>
      </c>
      <c r="G93" s="14" t="str" cm="1">
        <f t="array" ref="G93">IF(TRIM($B93)="DW01A", "ETL - EDW Estrattori",
    IF(TRIM($B93)="SG-ANAGRAFE", "SIGEA Anagrafe",
        IFERROR(
            VLOOKUP(
                INDEX('[1]Dettaglio pacchetti'!$AB$1:$AB$530,
                    _xlfn.AGGREGATE(15, 6,
                        (ROW($1:$345))/(ISNUMBER(SEARCH('[1]Dettaglio pacchetti'!$AB$1:$AB$530, $C93))),
                        1)
                ) &amp; "*",
                '[1]Dettaglio pacchetti'!$A$1:$I$530,
                5,
                FALSE
            ),
            IFERROR(VLOOKUP($C93, '[1]Dettaglio pacchetti'!$A$1:$I$530, 5, FALSE), "")
        )
    )
)</f>
        <v/>
      </c>
      <c r="H93" s="14" t="str" cm="1">
        <f t="array" ref="H93">IFERROR(
    VLOOKUP(
        INDEX('[1]Dettaglio pacchetti'!$AB$1:$AB$530,
            _xlfn.AGGREGATE(15, 6,
                (ROW($1:$345))/(ISNUMBER(SEARCH('[1]Dettaglio pacchetti'!$AB$1:$AB$530, $C93))),
                1)
        ) &amp; "*",
        '[1]Dettaglio pacchetti'!$A$1:$I$530,
        6,
        FALSE
    ),
    IFERROR(VLOOKUP($C93, '[1]Dettaglio pacchetti'!$A$1:$I$530, 6, FALSE), "")
)</f>
        <v/>
      </c>
      <c r="I93" s="7" t="str">
        <f t="shared" si="6"/>
        <v/>
      </c>
      <c r="J93" t="str">
        <f t="shared" si="4"/>
        <v/>
      </c>
      <c r="K93" t="str">
        <f t="shared" si="5"/>
        <v/>
      </c>
      <c r="L93" s="14" t="str" cm="1">
        <f t="array" ref="L93">IFERROR(
    VLOOKUP(
        INDEX('[1]Dettaglio pacchetti'!$AB$1:$AB$530,
            _xlfn.AGGREGATE(15, 6,
                ROW($1:$345)/(ISNUMBER(SEARCH('[1]Dettaglio pacchetti'!$AB$1:$AB$530, $C93))),
                1)
        ) &amp; "*",
        '[1]Dettaglio pacchetti'!$A$1:$I$530,
        8,
        FALSE
    ),
    IFERROR(VLOOKUP($C93, '[1]Dettaglio pacchetti'!$A$1:$I$530, 8, FALSE), "")
)</f>
        <v/>
      </c>
      <c r="M93" s="14" t="str" cm="1">
        <f t="array" ref="M93">IFERROR(
    VLOOKUP(
        INDEX('[1]Dettaglio pacchetti'!$AB$1:$AB$530,
            _xlfn.AGGREGATE(15, 6,
                ROW($1:$345)/(ISNUMBER(SEARCH('[1]Dettaglio pacchetti'!$AB$1:$AB$530, $C93))),
                1)
        ) &amp; "*",
        '[1]Dettaglio pacchetti'!$A$1:$I$530,
        9,
        FALSE
    ),
    IFERROR(VLOOKUP($C93, '[1]Dettaglio pacchetti'!$A$1:$I$530, 9, FALSE), "")
)</f>
        <v/>
      </c>
      <c r="N93" s="7"/>
      <c r="P93" s="6"/>
      <c r="AA93" t="str" cm="1">
        <f t="array" ref="AA93">IFERROR(VLOOKUP(INDEX('[1]Dettaglio pacchetti'!$AB$1:$AB$530, _xlfn.AGGREGATE(15, 6, (ROW($1:$345))/(ISNUMBER(SEARCH('[1]Dettaglio pacchetti'!$AB$1:$AB$530, $C93))), 1)) &amp; "*", '[1]Dettaglio pacchetti'!$A$1:$N$530, 13, FALSE) &amp; "", "")</f>
        <v/>
      </c>
      <c r="AB93" t="str" cm="1">
        <f t="array" ref="AB93">IF(ISNUMBER(SEARCH("dev.azure.com", AA93)), IFERROR(VLOOKUP(INDEX('[1]Dettaglio pacchetti'!$AB$1:$AB$530, _xlfn.AGGREGATE(15, 6, (ROW($1:$345))/(ISNUMBER(SEARCH('[1]Dettaglio pacchetti'!$AB$1:$AB$530, $C93))), 1)) &amp; "*", '[1]Dettaglio pacchetti'!$A$1:$N$530, 1, FALSE) &amp; "", ""), "")</f>
        <v/>
      </c>
      <c r="AC93" t="str" cm="1">
        <f t="array" ref="AC93">IFERROR(
    VLOOKUP(
        INDEX('[1]Dettaglio pacchetti'!$AB$1:$AB$530, _xlfn.AGGREGATE(15,6,ROW($1:$345)/(ISNUMBER(SEARCH('[1]Dettaglio pacchetti'!$AB$1:$AB$530,$C93))),1)) &amp; "*",
        '[1]Dettaglio pacchetti'!$A$1:$I$530,
        7,
        FALSE
    ),
    IFERROR(VLOOKUP($C93, '[1]Dettaglio pacchetti'!$A$1:$I$530, 7, FALSE), "")
)</f>
        <v/>
      </c>
      <c r="AD93" t="str" cm="1">
        <f t="array" ref="AD93">IFERROR(
    VLOOKUP(
        INDEX('[1]Dettaglio pacchetti'!$AB$1:$AB$530, _xlfn.AGGREGATE(15,6,ROW($1:$345)/(ISNUMBER(SEARCH('[1]Dettaglio pacchetti'!$AB$1:$AB$530,$C93))),1)) &amp; "*",
        '[1]Dettaglio pacchetti'!$A$1:$I$530,
        6,
        FALSE
    ),
    IFERROR(VLOOKUP($C93, '[1]Dettaglio pacchetti'!$A$1:$I$530, 6, FALSE), "")
)</f>
        <v/>
      </c>
    </row>
    <row r="94" spans="2:30" hidden="1" x14ac:dyDescent="0.3">
      <c r="C94" s="14"/>
      <c r="D94" s="20" t="str" cm="1">
        <f t="array" ref="D94">IFERROR(
    _xlfn.LET(
        _xlpm.risultato,
        IFERROR(
            _xlfn.XLOOKUP(TRIM(UPPER(G94)),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pacchetti'!$E$1:$E$530))=TRIM(UPPER(G94)),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94" s="14" t="str" cm="1">
        <f t="array" ref="E94">IF(TRIM($B94)="SG-ANAGRAFE", "Bugni Batte",
    IF(TRIM($B94)="DW01A", "Cauda",
        IFERROR(
            VLOOKUP(
                INDEX('[1]Dettaglio pacchetti'!$AB$1:$AB$530,
                    _xlfn.AGGREGATE(15, 6,
                        (ROW($1:$345))/(ISNUMBER(SEARCH('[1]Dettaglio pacchetti'!$AB$1:$AB$530, $C94))),
                        1)
                ) &amp; "*",
                '[1]Dettaglio pacchetti'!$A$1:$I$530,
                3,
                FALSE
            ),
            IFERROR(VLOOKUP($C94, '[1]Dettaglio pacchetti'!$A$1:$I$530, 3, FALSE), "")
        )
    )
)</f>
        <v/>
      </c>
      <c r="F94" s="14" t="str" cm="1">
        <f t="array" ref="F94">IF(TRIM($B94)="DW01A", "ETL - EDW Estrattori",
    IFERROR(
        VLOOKUP(
            INDEX('[1]Dettaglio pacchetti'!$AB$1:$AB$530,
                _xlfn.AGGREGATE(15, 6,
                    (ROW($1:$345))/(ISNUMBER(SEARCH('[1]Dettaglio pacchetti'!$AB$1:$AB$530, $C94))),
                    1)
            ) &amp; "*",
            '[1]Dettaglio pacchetti'!$A$1:$I$530,
            4,
            FALSE
        ),
        IFERROR(VLOOKUP($C94, '[1]Dettaglio pacchetti'!$A$1:$I$530, 4, FALSE), "")
    )
)</f>
        <v/>
      </c>
      <c r="G94" s="14" t="str" cm="1">
        <f t="array" ref="G94">IF(TRIM($B94)="DW01A", "ETL - EDW Estrattori",
    IF(TRIM($B94)="SG-ANAGRAFE", "SIGEA Anagrafe",
        IFERROR(
            VLOOKUP(
                INDEX('[1]Dettaglio pacchetti'!$AB$1:$AB$530,
                    _xlfn.AGGREGATE(15, 6,
                        (ROW($1:$345))/(ISNUMBER(SEARCH('[1]Dettaglio pacchetti'!$AB$1:$AB$530, $C94))),
                        1)
                ) &amp; "*",
                '[1]Dettaglio pacchetti'!$A$1:$I$530,
                5,
                FALSE
            ),
            IFERROR(VLOOKUP($C94, '[1]Dettaglio pacchetti'!$A$1:$I$530, 5, FALSE), "")
        )
    )
)</f>
        <v/>
      </c>
      <c r="H94" s="14" t="str" cm="1">
        <f t="array" ref="H94">IFERROR(
    VLOOKUP(
        INDEX('[1]Dettaglio pacchetti'!$AB$1:$AB$530,
            _xlfn.AGGREGATE(15, 6,
                (ROW($1:$345))/(ISNUMBER(SEARCH('[1]Dettaglio pacchetti'!$AB$1:$AB$530, $C94))),
                1)
        ) &amp; "*",
        '[1]Dettaglio pacchetti'!$A$1:$I$530,
        6,
        FALSE
    ),
    IFERROR(VLOOKUP($C94, '[1]Dettaglio pacchetti'!$A$1:$I$530, 6, FALSE), "")
)</f>
        <v/>
      </c>
      <c r="I94" s="7" t="str">
        <f t="shared" si="6"/>
        <v/>
      </c>
      <c r="J94" t="str">
        <f t="shared" si="4"/>
        <v/>
      </c>
      <c r="K94" t="str">
        <f t="shared" si="5"/>
        <v/>
      </c>
      <c r="L94" s="14" t="str" cm="1">
        <f t="array" ref="L94">IFERROR(
    VLOOKUP(
        INDEX('[1]Dettaglio pacchetti'!$AB$1:$AB$530,
            _xlfn.AGGREGATE(15, 6,
                ROW($1:$345)/(ISNUMBER(SEARCH('[1]Dettaglio pacchetti'!$AB$1:$AB$530, $C94))),
                1)
        ) &amp; "*",
        '[1]Dettaglio pacchetti'!$A$1:$I$530,
        8,
        FALSE
    ),
    IFERROR(VLOOKUP($C94, '[1]Dettaglio pacchetti'!$A$1:$I$530, 8, FALSE), "")
)</f>
        <v/>
      </c>
      <c r="M94" s="14" t="str" cm="1">
        <f t="array" ref="M94">IFERROR(
    VLOOKUP(
        INDEX('[1]Dettaglio pacchetti'!$AB$1:$AB$530,
            _xlfn.AGGREGATE(15, 6,
                ROW($1:$345)/(ISNUMBER(SEARCH('[1]Dettaglio pacchetti'!$AB$1:$AB$530, $C94))),
                1)
        ) &amp; "*",
        '[1]Dettaglio pacchetti'!$A$1:$I$530,
        9,
        FALSE
    ),
    IFERROR(VLOOKUP($C94, '[1]Dettaglio pacchetti'!$A$1:$I$530, 9, FALSE), "")
)</f>
        <v/>
      </c>
      <c r="N94" s="7"/>
      <c r="P94" s="6"/>
      <c r="AA94" t="str" cm="1">
        <f t="array" ref="AA94">IFERROR(VLOOKUP(INDEX('[1]Dettaglio pacchetti'!$AB$1:$AB$530, _xlfn.AGGREGATE(15, 6, (ROW($1:$345))/(ISNUMBER(SEARCH('[1]Dettaglio pacchetti'!$AB$1:$AB$530, $C94))), 1)) &amp; "*", '[1]Dettaglio pacchetti'!$A$1:$N$530, 13, FALSE) &amp; "", "")</f>
        <v/>
      </c>
      <c r="AB94" t="str" cm="1">
        <f t="array" ref="AB94">IF(ISNUMBER(SEARCH("dev.azure.com", AA94)), IFERROR(VLOOKUP(INDEX('[1]Dettaglio pacchetti'!$AB$1:$AB$530, _xlfn.AGGREGATE(15, 6, (ROW($1:$345))/(ISNUMBER(SEARCH('[1]Dettaglio pacchetti'!$AB$1:$AB$530, $C94))), 1)) &amp; "*", '[1]Dettaglio pacchetti'!$A$1:$N$530, 1, FALSE) &amp; "", ""), "")</f>
        <v/>
      </c>
      <c r="AC94" t="str" cm="1">
        <f t="array" ref="AC94">IFERROR(
    VLOOKUP(
        INDEX('[1]Dettaglio pacchetti'!$AB$1:$AB$530, _xlfn.AGGREGATE(15,6,ROW($1:$345)/(ISNUMBER(SEARCH('[1]Dettaglio pacchetti'!$AB$1:$AB$530,$C94))),1)) &amp; "*",
        '[1]Dettaglio pacchetti'!$A$1:$I$530,
        7,
        FALSE
    ),
    IFERROR(VLOOKUP($C94, '[1]Dettaglio pacchetti'!$A$1:$I$530, 7, FALSE), "")
)</f>
        <v/>
      </c>
      <c r="AD94" t="str" cm="1">
        <f t="array" ref="AD94">IFERROR(
    VLOOKUP(
        INDEX('[1]Dettaglio pacchetti'!$AB$1:$AB$530, _xlfn.AGGREGATE(15,6,ROW($1:$345)/(ISNUMBER(SEARCH('[1]Dettaglio pacchetti'!$AB$1:$AB$530,$C94))),1)) &amp; "*",
        '[1]Dettaglio pacchetti'!$A$1:$I$530,
        6,
        FALSE
    ),
    IFERROR(VLOOKUP($C94, '[1]Dettaglio pacchetti'!$A$1:$I$530, 6, FALSE), "")
)</f>
        <v/>
      </c>
    </row>
    <row r="95" spans="2:30" hidden="1" x14ac:dyDescent="0.3">
      <c r="C95" s="14"/>
      <c r="D95" s="20" t="str" cm="1">
        <f t="array" ref="D95">IFERROR(
    _xlfn.LET(
        _xlpm.risultato,
        IFERROR(
            _xlfn.XLOOKUP(TRIM(UPPER(G95)),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pacchetti'!$E$1:$E$530))=TRIM(UPPER(G95)),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95" s="14" t="str" cm="1">
        <f t="array" ref="E95">IF(TRIM($B95)="SG-ANAGRAFE", "Bugni Batte",
    IF(TRIM($B95)="DW01A", "Cauda",
        IFERROR(
            VLOOKUP(
                INDEX('[1]Dettaglio pacchetti'!$AB$1:$AB$530,
                    _xlfn.AGGREGATE(15, 6,
                        (ROW($1:$345))/(ISNUMBER(SEARCH('[1]Dettaglio pacchetti'!$AB$1:$AB$530, $C95))),
                        1)
                ) &amp; "*",
                '[1]Dettaglio pacchetti'!$A$1:$I$530,
                3,
                FALSE
            ),
            IFERROR(VLOOKUP($C95, '[1]Dettaglio pacchetti'!$A$1:$I$530, 3, FALSE), "")
        )
    )
)</f>
        <v/>
      </c>
      <c r="F95" s="14" t="str" cm="1">
        <f t="array" ref="F95">IF(TRIM($B95)="DW01A", "ETL - EDW Estrattori",
    IFERROR(
        VLOOKUP(
            INDEX('[1]Dettaglio pacchetti'!$AB$1:$AB$530,
                _xlfn.AGGREGATE(15, 6,
                    (ROW($1:$345))/(ISNUMBER(SEARCH('[1]Dettaglio pacchetti'!$AB$1:$AB$530, $C95))),
                    1)
            ) &amp; "*",
            '[1]Dettaglio pacchetti'!$A$1:$I$530,
            4,
            FALSE
        ),
        IFERROR(VLOOKUP($C95, '[1]Dettaglio pacchetti'!$A$1:$I$530, 4, FALSE), "")
    )
)</f>
        <v/>
      </c>
      <c r="G95" s="14" t="str" cm="1">
        <f t="array" ref="G95">IF(TRIM($B95)="DW01A", "ETL - EDW Estrattori",
    IF(TRIM($B95)="SG-ANAGRAFE", "SIGEA Anagrafe",
        IFERROR(
            VLOOKUP(
                INDEX('[1]Dettaglio pacchetti'!$AB$1:$AB$530,
                    _xlfn.AGGREGATE(15, 6,
                        (ROW($1:$345))/(ISNUMBER(SEARCH('[1]Dettaglio pacchetti'!$AB$1:$AB$530, $C95))),
                        1)
                ) &amp; "*",
                '[1]Dettaglio pacchetti'!$A$1:$I$530,
                5,
                FALSE
            ),
            IFERROR(VLOOKUP($C95, '[1]Dettaglio pacchetti'!$A$1:$I$530, 5, FALSE), "")
        )
    )
)</f>
        <v/>
      </c>
      <c r="H95" s="14" t="str" cm="1">
        <f t="array" ref="H95">IFERROR(
    VLOOKUP(
        INDEX('[1]Dettaglio pacchetti'!$AB$1:$AB$530,
            _xlfn.AGGREGATE(15, 6,
                (ROW($1:$345))/(ISNUMBER(SEARCH('[1]Dettaglio pacchetti'!$AB$1:$AB$530, $C95))),
                1)
        ) &amp; "*",
        '[1]Dettaglio pacchetti'!$A$1:$I$530,
        6,
        FALSE
    ),
    IFERROR(VLOOKUP($C95, '[1]Dettaglio pacchetti'!$A$1:$I$530, 6, FALSE), "")
)</f>
        <v/>
      </c>
      <c r="I95" s="7" t="str">
        <f t="shared" si="6"/>
        <v/>
      </c>
      <c r="J95" t="str">
        <f t="shared" si="4"/>
        <v/>
      </c>
      <c r="K95" t="str">
        <f t="shared" si="5"/>
        <v/>
      </c>
      <c r="L95" s="14" t="str" cm="1">
        <f t="array" ref="L95">IFERROR(
    VLOOKUP(
        INDEX('[1]Dettaglio pacchetti'!$AB$1:$AB$530,
            _xlfn.AGGREGATE(15, 6,
                ROW($1:$345)/(ISNUMBER(SEARCH('[1]Dettaglio pacchetti'!$AB$1:$AB$530, $C95))),
                1)
        ) &amp; "*",
        '[1]Dettaglio pacchetti'!$A$1:$I$530,
        8,
        FALSE
    ),
    IFERROR(VLOOKUP($C95, '[1]Dettaglio pacchetti'!$A$1:$I$530, 8, FALSE), "")
)</f>
        <v/>
      </c>
      <c r="M95" s="14" t="str" cm="1">
        <f t="array" ref="M95">IFERROR(
    VLOOKUP(
        INDEX('[1]Dettaglio pacchetti'!$AB$1:$AB$530,
            _xlfn.AGGREGATE(15, 6,
                ROW($1:$345)/(ISNUMBER(SEARCH('[1]Dettaglio pacchetti'!$AB$1:$AB$530, $C95))),
                1)
        ) &amp; "*",
        '[1]Dettaglio pacchetti'!$A$1:$I$530,
        9,
        FALSE
    ),
    IFERROR(VLOOKUP($C95, '[1]Dettaglio pacchetti'!$A$1:$I$530, 9, FALSE), "")
)</f>
        <v/>
      </c>
      <c r="N95" s="7"/>
      <c r="P95" s="6"/>
      <c r="AA95" t="str" cm="1">
        <f t="array" ref="AA95">IFERROR(VLOOKUP(INDEX('[1]Dettaglio pacchetti'!$AB$1:$AB$530, _xlfn.AGGREGATE(15, 6, (ROW($1:$345))/(ISNUMBER(SEARCH('[1]Dettaglio pacchetti'!$AB$1:$AB$530, $C95))), 1)) &amp; "*", '[1]Dettaglio pacchetti'!$A$1:$N$530, 13, FALSE) &amp; "", "")</f>
        <v/>
      </c>
      <c r="AB95" t="str" cm="1">
        <f t="array" ref="AB95">IF(ISNUMBER(SEARCH("dev.azure.com", AA95)), IFERROR(VLOOKUP(INDEX('[1]Dettaglio pacchetti'!$AB$1:$AB$530, _xlfn.AGGREGATE(15, 6, (ROW($1:$345))/(ISNUMBER(SEARCH('[1]Dettaglio pacchetti'!$AB$1:$AB$530, $C95))), 1)) &amp; "*", '[1]Dettaglio pacchetti'!$A$1:$N$530, 1, FALSE) &amp; "", ""), "")</f>
        <v/>
      </c>
      <c r="AC95" t="str" cm="1">
        <f t="array" ref="AC95">IFERROR(
    VLOOKUP(
        INDEX('[1]Dettaglio pacchetti'!$AB$1:$AB$530, _xlfn.AGGREGATE(15,6,ROW($1:$345)/(ISNUMBER(SEARCH('[1]Dettaglio pacchetti'!$AB$1:$AB$530,$C95))),1)) &amp; "*",
        '[1]Dettaglio pacchetti'!$A$1:$I$530,
        7,
        FALSE
    ),
    IFERROR(VLOOKUP($C95, '[1]Dettaglio pacchetti'!$A$1:$I$530, 7, FALSE), "")
)</f>
        <v/>
      </c>
      <c r="AD95" t="str" cm="1">
        <f t="array" ref="AD95">IFERROR(
    VLOOKUP(
        INDEX('[1]Dettaglio pacchetti'!$AB$1:$AB$530, _xlfn.AGGREGATE(15,6,ROW($1:$345)/(ISNUMBER(SEARCH('[1]Dettaglio pacchetti'!$AB$1:$AB$530,$C95))),1)) &amp; "*",
        '[1]Dettaglio pacchetti'!$A$1:$I$530,
        6,
        FALSE
    ),
    IFERROR(VLOOKUP($C95, '[1]Dettaglio pacchetti'!$A$1:$I$530, 6, FALSE), "")
)</f>
        <v/>
      </c>
    </row>
    <row r="96" spans="2:30" hidden="1" x14ac:dyDescent="0.3">
      <c r="C96" s="14"/>
      <c r="D96" s="20" t="str" cm="1">
        <f t="array" ref="D96">IFERROR(
    _xlfn.LET(
        _xlpm.risultato,
        IFERROR(
            _xlfn.XLOOKUP(TRIM(UPPER(G96)),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pacchetti'!$E$1:$E$530))=TRIM(UPPER(G96)),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96" s="14" t="str" cm="1">
        <f t="array" ref="E96">IF(TRIM($B96)="SG-ANAGRAFE", "Bugni Batte",
    IF(TRIM($B96)="DW01A", "Cauda",
        IFERROR(
            VLOOKUP(
                INDEX('[1]Dettaglio pacchetti'!$AB$1:$AB$530,
                    _xlfn.AGGREGATE(15, 6,
                        (ROW($1:$345))/(ISNUMBER(SEARCH('[1]Dettaglio pacchetti'!$AB$1:$AB$530, $C96))),
                        1)
                ) &amp; "*",
                '[1]Dettaglio pacchetti'!$A$1:$I$530,
                3,
                FALSE
            ),
            IFERROR(VLOOKUP($C96, '[1]Dettaglio pacchetti'!$A$1:$I$530, 3, FALSE), "")
        )
    )
)</f>
        <v/>
      </c>
      <c r="F96" s="14" t="str" cm="1">
        <f t="array" ref="F96">IF(TRIM($B96)="DW01A", "ETL - EDW Estrattori",
    IFERROR(
        VLOOKUP(
            INDEX('[1]Dettaglio pacchetti'!$AB$1:$AB$530,
                _xlfn.AGGREGATE(15, 6,
                    (ROW($1:$345))/(ISNUMBER(SEARCH('[1]Dettaglio pacchetti'!$AB$1:$AB$530, $C96))),
                    1)
            ) &amp; "*",
            '[1]Dettaglio pacchetti'!$A$1:$I$530,
            4,
            FALSE
        ),
        IFERROR(VLOOKUP($C96, '[1]Dettaglio pacchetti'!$A$1:$I$530, 4, FALSE), "")
    )
)</f>
        <v/>
      </c>
      <c r="G96" s="14" t="str" cm="1">
        <f t="array" ref="G96">IF(TRIM($B96)="DW01A", "ETL - EDW Estrattori",
    IF(TRIM($B96)="SG-ANAGRAFE", "SIGEA Anagrafe",
        IFERROR(
            VLOOKUP(
                INDEX('[1]Dettaglio pacchetti'!$AB$1:$AB$530,
                    _xlfn.AGGREGATE(15, 6,
                        (ROW($1:$345))/(ISNUMBER(SEARCH('[1]Dettaglio pacchetti'!$AB$1:$AB$530, $C96))),
                        1)
                ) &amp; "*",
                '[1]Dettaglio pacchetti'!$A$1:$I$530,
                5,
                FALSE
            ),
            IFERROR(VLOOKUP($C96, '[1]Dettaglio pacchetti'!$A$1:$I$530, 5, FALSE), "")
        )
    )
)</f>
        <v/>
      </c>
      <c r="H96" s="14" t="str" cm="1">
        <f t="array" ref="H96">IFERROR(
    VLOOKUP(
        INDEX('[1]Dettaglio pacchetti'!$AB$1:$AB$530,
            _xlfn.AGGREGATE(15, 6,
                (ROW($1:$345))/(ISNUMBER(SEARCH('[1]Dettaglio pacchetti'!$AB$1:$AB$530, $C96))),
                1)
        ) &amp; "*",
        '[1]Dettaglio pacchetti'!$A$1:$I$530,
        6,
        FALSE
    ),
    IFERROR(VLOOKUP($C96, '[1]Dettaglio pacchetti'!$A$1:$I$530, 6, FALSE), "")
)</f>
        <v/>
      </c>
      <c r="I96" s="7" t="str">
        <f t="shared" si="6"/>
        <v/>
      </c>
      <c r="J96" t="str">
        <f t="shared" si="4"/>
        <v/>
      </c>
      <c r="K96" t="str">
        <f t="shared" si="5"/>
        <v/>
      </c>
      <c r="L96" s="14" t="str" cm="1">
        <f t="array" ref="L96">IFERROR(
    VLOOKUP(
        INDEX('[1]Dettaglio pacchetti'!$AB$1:$AB$530,
            _xlfn.AGGREGATE(15, 6,
                ROW($1:$345)/(ISNUMBER(SEARCH('[1]Dettaglio pacchetti'!$AB$1:$AB$530, $C96))),
                1)
        ) &amp; "*",
        '[1]Dettaglio pacchetti'!$A$1:$I$530,
        8,
        FALSE
    ),
    IFERROR(VLOOKUP($C96, '[1]Dettaglio pacchetti'!$A$1:$I$530, 8, FALSE), "")
)</f>
        <v/>
      </c>
      <c r="M96" s="14" t="str" cm="1">
        <f t="array" ref="M96">IFERROR(
    VLOOKUP(
        INDEX('[1]Dettaglio pacchetti'!$AB$1:$AB$530,
            _xlfn.AGGREGATE(15, 6,
                ROW($1:$345)/(ISNUMBER(SEARCH('[1]Dettaglio pacchetti'!$AB$1:$AB$530, $C96))),
                1)
        ) &amp; "*",
        '[1]Dettaglio pacchetti'!$A$1:$I$530,
        9,
        FALSE
    ),
    IFERROR(VLOOKUP($C96, '[1]Dettaglio pacchetti'!$A$1:$I$530, 9, FALSE), "")
)</f>
        <v/>
      </c>
      <c r="N96" s="7"/>
      <c r="P96" s="6"/>
      <c r="AA96" t="str" cm="1">
        <f t="array" ref="AA96">IFERROR(VLOOKUP(INDEX('[1]Dettaglio pacchetti'!$AB$1:$AB$530, _xlfn.AGGREGATE(15, 6, (ROW($1:$345))/(ISNUMBER(SEARCH('[1]Dettaglio pacchetti'!$AB$1:$AB$530, $C96))), 1)) &amp; "*", '[1]Dettaglio pacchetti'!$A$1:$N$530, 13, FALSE) &amp; "", "")</f>
        <v/>
      </c>
      <c r="AB96" t="str" cm="1">
        <f t="array" ref="AB96">IF(ISNUMBER(SEARCH("dev.azure.com", AA96)), IFERROR(VLOOKUP(INDEX('[1]Dettaglio pacchetti'!$AB$1:$AB$530, _xlfn.AGGREGATE(15, 6, (ROW($1:$345))/(ISNUMBER(SEARCH('[1]Dettaglio pacchetti'!$AB$1:$AB$530, $C96))), 1)) &amp; "*", '[1]Dettaglio pacchetti'!$A$1:$N$530, 1, FALSE) &amp; "", ""), "")</f>
        <v/>
      </c>
      <c r="AC96" t="str" cm="1">
        <f t="array" ref="AC96">IFERROR(
    VLOOKUP(
        INDEX('[1]Dettaglio pacchetti'!$AB$1:$AB$530, _xlfn.AGGREGATE(15,6,ROW($1:$345)/(ISNUMBER(SEARCH('[1]Dettaglio pacchetti'!$AB$1:$AB$530,$C96))),1)) &amp; "*",
        '[1]Dettaglio pacchetti'!$A$1:$I$530,
        7,
        FALSE
    ),
    IFERROR(VLOOKUP($C96, '[1]Dettaglio pacchetti'!$A$1:$I$530, 7, FALSE), "")
)</f>
        <v/>
      </c>
      <c r="AD96" t="str" cm="1">
        <f t="array" ref="AD96">IFERROR(
    VLOOKUP(
        INDEX('[1]Dettaglio pacchetti'!$AB$1:$AB$530, _xlfn.AGGREGATE(15,6,ROW($1:$345)/(ISNUMBER(SEARCH('[1]Dettaglio pacchetti'!$AB$1:$AB$530,$C96))),1)) &amp; "*",
        '[1]Dettaglio pacchetti'!$A$1:$I$530,
        6,
        FALSE
    ),
    IFERROR(VLOOKUP($C96, '[1]Dettaglio pacchetti'!$A$1:$I$530, 6, FALSE), "")
)</f>
        <v/>
      </c>
    </row>
    <row r="97" spans="3:30" hidden="1" x14ac:dyDescent="0.3">
      <c r="C97" s="14"/>
      <c r="D97" s="20" t="str" cm="1">
        <f t="array" ref="D97">IFERROR(
    _xlfn.LET(
        _xlpm.risultato,
        IFERROR(
            _xlfn.XLOOKUP(TRIM(UPPER(G97)),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pacchetti'!$E$1:$E$530))=TRIM(UPPER(G97)),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97" s="14" t="str" cm="1">
        <f t="array" ref="E97">IF(TRIM($B97)="SG-ANAGRAFE", "Bugni Batte",
    IF(TRIM($B97)="DW01A", "Cauda",
        IFERROR(
            VLOOKUP(
                INDEX('[1]Dettaglio pacchetti'!$AB$1:$AB$530,
                    _xlfn.AGGREGATE(15, 6,
                        (ROW($1:$345))/(ISNUMBER(SEARCH('[1]Dettaglio pacchetti'!$AB$1:$AB$530, $C97))),
                        1)
                ) &amp; "*",
                '[1]Dettaglio pacchetti'!$A$1:$I$530,
                3,
                FALSE
            ),
            IFERROR(VLOOKUP($C97, '[1]Dettaglio pacchetti'!$A$1:$I$530, 3, FALSE), "")
        )
    )
)</f>
        <v/>
      </c>
      <c r="F97" s="14" t="str" cm="1">
        <f t="array" ref="F97">IF(TRIM($B97)="DW01A", "ETL - EDW Estrattori",
    IFERROR(
        VLOOKUP(
            INDEX('[1]Dettaglio pacchetti'!$AB$1:$AB$530,
                _xlfn.AGGREGATE(15, 6,
                    (ROW($1:$345))/(ISNUMBER(SEARCH('[1]Dettaglio pacchetti'!$AB$1:$AB$530, $C97))),
                    1)
            ) &amp; "*",
            '[1]Dettaglio pacchetti'!$A$1:$I$530,
            4,
            FALSE
        ),
        IFERROR(VLOOKUP($C97, '[1]Dettaglio pacchetti'!$A$1:$I$530, 4, FALSE), "")
    )
)</f>
        <v/>
      </c>
      <c r="G97" s="14" t="str" cm="1">
        <f t="array" ref="G97">IF(TRIM($B97)="DW01A", "ETL - EDW Estrattori",
    IF(TRIM($B97)="SG-ANAGRAFE", "SIGEA Anagrafe",
        IFERROR(
            VLOOKUP(
                INDEX('[1]Dettaglio pacchetti'!$AB$1:$AB$530,
                    _xlfn.AGGREGATE(15, 6,
                        (ROW($1:$345))/(ISNUMBER(SEARCH('[1]Dettaglio pacchetti'!$AB$1:$AB$530, $C97))),
                        1)
                ) &amp; "*",
                '[1]Dettaglio pacchetti'!$A$1:$I$530,
                5,
                FALSE
            ),
            IFERROR(VLOOKUP($C97, '[1]Dettaglio pacchetti'!$A$1:$I$530, 5, FALSE), "")
        )
    )
)</f>
        <v/>
      </c>
      <c r="H97" s="14" t="str" cm="1">
        <f t="array" ref="H97">IFERROR(
    VLOOKUP(
        INDEX('[1]Dettaglio pacchetti'!$AB$1:$AB$530,
            _xlfn.AGGREGATE(15, 6,
                (ROW($1:$345))/(ISNUMBER(SEARCH('[1]Dettaglio pacchetti'!$AB$1:$AB$530, $C97))),
                1)
        ) &amp; "*",
        '[1]Dettaglio pacchetti'!$A$1:$I$530,
        6,
        FALSE
    ),
    IFERROR(VLOOKUP($C97, '[1]Dettaglio pacchetti'!$A$1:$I$530, 6, FALSE), "")
)</f>
        <v/>
      </c>
      <c r="I97" s="7" t="str">
        <f t="shared" si="6"/>
        <v/>
      </c>
      <c r="J97" t="str">
        <f t="shared" si="4"/>
        <v/>
      </c>
      <c r="K97" t="str">
        <f t="shared" si="5"/>
        <v/>
      </c>
      <c r="L97" s="14" t="str" cm="1">
        <f t="array" ref="L97">IFERROR(
    VLOOKUP(
        INDEX('[1]Dettaglio pacchetti'!$AB$1:$AB$530,
            _xlfn.AGGREGATE(15, 6,
                ROW($1:$345)/(ISNUMBER(SEARCH('[1]Dettaglio pacchetti'!$AB$1:$AB$530, $C97))),
                1)
        ) &amp; "*",
        '[1]Dettaglio pacchetti'!$A$1:$I$530,
        8,
        FALSE
    ),
    IFERROR(VLOOKUP($C97, '[1]Dettaglio pacchetti'!$A$1:$I$530, 8, FALSE), "")
)</f>
        <v/>
      </c>
      <c r="M97" s="14" t="str" cm="1">
        <f t="array" ref="M97">IFERROR(
    VLOOKUP(
        INDEX('[1]Dettaglio pacchetti'!$AB$1:$AB$530,
            _xlfn.AGGREGATE(15, 6,
                ROW($1:$345)/(ISNUMBER(SEARCH('[1]Dettaglio pacchetti'!$AB$1:$AB$530, $C97))),
                1)
        ) &amp; "*",
        '[1]Dettaglio pacchetti'!$A$1:$I$530,
        9,
        FALSE
    ),
    IFERROR(VLOOKUP($C97, '[1]Dettaglio pacchetti'!$A$1:$I$530, 9, FALSE), "")
)</f>
        <v/>
      </c>
      <c r="N97" s="7"/>
      <c r="P97" s="6"/>
      <c r="AA97" t="str" cm="1">
        <f t="array" ref="AA97">IFERROR(VLOOKUP(INDEX('[1]Dettaglio pacchetti'!$AB$1:$AB$530, _xlfn.AGGREGATE(15, 6, (ROW($1:$345))/(ISNUMBER(SEARCH('[1]Dettaglio pacchetti'!$AB$1:$AB$530, $C97))), 1)) &amp; "*", '[1]Dettaglio pacchetti'!$A$1:$N$530, 13, FALSE) &amp; "", "")</f>
        <v/>
      </c>
      <c r="AB97" t="str" cm="1">
        <f t="array" ref="AB97">IF(ISNUMBER(SEARCH("dev.azure.com", AA97)), IFERROR(VLOOKUP(INDEX('[1]Dettaglio pacchetti'!$AB$1:$AB$530, _xlfn.AGGREGATE(15, 6, (ROW($1:$345))/(ISNUMBER(SEARCH('[1]Dettaglio pacchetti'!$AB$1:$AB$530, $C97))), 1)) &amp; "*", '[1]Dettaglio pacchetti'!$A$1:$N$530, 1, FALSE) &amp; "", ""), "")</f>
        <v/>
      </c>
      <c r="AC97" t="str" cm="1">
        <f t="array" ref="AC97">IFERROR(
    VLOOKUP(
        INDEX('[1]Dettaglio pacchetti'!$AB$1:$AB$530, _xlfn.AGGREGATE(15,6,ROW($1:$345)/(ISNUMBER(SEARCH('[1]Dettaglio pacchetti'!$AB$1:$AB$530,$C97))),1)) &amp; "*",
        '[1]Dettaglio pacchetti'!$A$1:$I$530,
        7,
        FALSE
    ),
    IFERROR(VLOOKUP($C97, '[1]Dettaglio pacchetti'!$A$1:$I$530, 7, FALSE), "")
)</f>
        <v/>
      </c>
      <c r="AD97" t="str" cm="1">
        <f t="array" ref="AD97">IFERROR(
    VLOOKUP(
        INDEX('[1]Dettaglio pacchetti'!$AB$1:$AB$530, _xlfn.AGGREGATE(15,6,ROW($1:$345)/(ISNUMBER(SEARCH('[1]Dettaglio pacchetti'!$AB$1:$AB$530,$C97))),1)) &amp; "*",
        '[1]Dettaglio pacchetti'!$A$1:$I$530,
        6,
        FALSE
    ),
    IFERROR(VLOOKUP($C97, '[1]Dettaglio pacchetti'!$A$1:$I$530, 6, FALSE), "")
)</f>
        <v/>
      </c>
    </row>
    <row r="98" spans="3:30" hidden="1" x14ac:dyDescent="0.3">
      <c r="C98" s="22"/>
      <c r="D98" s="20" t="str" cm="1">
        <f t="array" ref="D98">IFERROR(
    _xlfn.LET(
        _xlpm.risultato,
        IFERROR(
            _xlfn.XLOOKUP(TRIM(UPPER(G98)),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pacchetti'!$E$1:$E$530))=TRIM(UPPER(G98)),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98" s="14" t="str" cm="1">
        <f t="array" ref="E98">IF(TRIM($B98)="SG-ANAGRAFE", "Bugni Batte",
    IF(TRIM($B98)="DW01A", "Cauda",
        IFERROR(
            VLOOKUP(
                INDEX('[1]Dettaglio pacchetti'!$AB$1:$AB$530,
                    _xlfn.AGGREGATE(15, 6,
                        (ROW($1:$345))/(ISNUMBER(SEARCH('[1]Dettaglio pacchetti'!$AB$1:$AB$530, $C98))),
                        1)
                ) &amp; "*",
                '[1]Dettaglio pacchetti'!$A$1:$I$530,
                3,
                FALSE
            ),
            IFERROR(VLOOKUP($C98, '[1]Dettaglio pacchetti'!$A$1:$I$530, 3, FALSE), "")
        )
    )
)</f>
        <v/>
      </c>
      <c r="F98" s="14" t="str" cm="1">
        <f t="array" ref="F98">IF(TRIM($B98)="DW01A", "ETL - EDW Estrattori",
    IFERROR(
        VLOOKUP(
            INDEX('[1]Dettaglio pacchetti'!$AB$1:$AB$530,
                _xlfn.AGGREGATE(15, 6,
                    (ROW($1:$345))/(ISNUMBER(SEARCH('[1]Dettaglio pacchetti'!$AB$1:$AB$530, $C98))),
                    1)
            ) &amp; "*",
            '[1]Dettaglio pacchetti'!$A$1:$I$530,
            4,
            FALSE
        ),
        IFERROR(VLOOKUP($C98, '[1]Dettaglio pacchetti'!$A$1:$I$530, 4, FALSE), "")
    )
)</f>
        <v/>
      </c>
      <c r="G98" s="14" t="str" cm="1">
        <f t="array" ref="G98">IF(TRIM($B98)="DW01A", "ETL - EDW Estrattori",
    IF(TRIM($B98)="SG-ANAGRAFE", "SIGEA Anagrafe",
        IFERROR(
            VLOOKUP(
                INDEX('[1]Dettaglio pacchetti'!$AB$1:$AB$530,
                    _xlfn.AGGREGATE(15, 6,
                        (ROW($1:$345))/(ISNUMBER(SEARCH('[1]Dettaglio pacchetti'!$AB$1:$AB$530, $C98))),
                        1)
                ) &amp; "*",
                '[1]Dettaglio pacchetti'!$A$1:$I$530,
                5,
                FALSE
            ),
            IFERROR(VLOOKUP($C98, '[1]Dettaglio pacchetti'!$A$1:$I$530, 5, FALSE), "")
        )
    )
)</f>
        <v/>
      </c>
      <c r="H98" s="14" t="str" cm="1">
        <f t="array" ref="H98">IFERROR(
    VLOOKUP(
        INDEX('[1]Dettaglio pacchetti'!$AB$1:$AB$530,
            _xlfn.AGGREGATE(15, 6,
                (ROW($1:$345))/(ISNUMBER(SEARCH('[1]Dettaglio pacchetti'!$AB$1:$AB$530, $C98))),
                1)
        ) &amp; "*",
        '[1]Dettaglio pacchetti'!$A$1:$I$530,
        6,
        FALSE
    ),
    IFERROR(VLOOKUP($C98, '[1]Dettaglio pacchetti'!$A$1:$I$530, 6, FALSE), "")
)</f>
        <v/>
      </c>
      <c r="I98" s="7" t="str">
        <f t="shared" si="6"/>
        <v/>
      </c>
      <c r="J98" t="str">
        <f t="shared" si="4"/>
        <v/>
      </c>
      <c r="K98" t="str">
        <f t="shared" si="5"/>
        <v/>
      </c>
      <c r="L98" s="14" t="str" cm="1">
        <f t="array" ref="L98">IFERROR(
    VLOOKUP(
        INDEX('[1]Dettaglio pacchetti'!$AB$1:$AB$530,
            _xlfn.AGGREGATE(15, 6,
                ROW($1:$345)/(ISNUMBER(SEARCH('[1]Dettaglio pacchetti'!$AB$1:$AB$530, $C98))),
                1)
        ) &amp; "*",
        '[1]Dettaglio pacchetti'!$A$1:$I$530,
        8,
        FALSE
    ),
    IFERROR(VLOOKUP($C98, '[1]Dettaglio pacchetti'!$A$1:$I$530, 8, FALSE), "")
)</f>
        <v/>
      </c>
      <c r="M98" s="14" t="str" cm="1">
        <f t="array" ref="M98">IFERROR(
    VLOOKUP(
        INDEX('[1]Dettaglio pacchetti'!$AB$1:$AB$530,
            _xlfn.AGGREGATE(15, 6,
                ROW($1:$345)/(ISNUMBER(SEARCH('[1]Dettaglio pacchetti'!$AB$1:$AB$530, $C98))),
                1)
        ) &amp; "*",
        '[1]Dettaglio pacchetti'!$A$1:$I$530,
        9,
        FALSE
    ),
    IFERROR(VLOOKUP($C98, '[1]Dettaglio pacchetti'!$A$1:$I$530, 9, FALSE), "")
)</f>
        <v/>
      </c>
      <c r="N98" s="7"/>
      <c r="P98" s="6"/>
      <c r="AA98" t="str" cm="1">
        <f t="array" ref="AA98">IFERROR(VLOOKUP(INDEX('[1]Dettaglio pacchetti'!$AB$1:$AB$530, _xlfn.AGGREGATE(15, 6, (ROW($1:$345))/(ISNUMBER(SEARCH('[1]Dettaglio pacchetti'!$AB$1:$AB$530, $C98))), 1)) &amp; "*", '[1]Dettaglio pacchetti'!$A$1:$N$530, 13, FALSE) &amp; "", "")</f>
        <v/>
      </c>
      <c r="AB98" t="str" cm="1">
        <f t="array" ref="AB98">IF(ISNUMBER(SEARCH("dev.azure.com", AA98)), IFERROR(VLOOKUP(INDEX('[1]Dettaglio pacchetti'!$AB$1:$AB$530, _xlfn.AGGREGATE(15, 6, (ROW($1:$345))/(ISNUMBER(SEARCH('[1]Dettaglio pacchetti'!$AB$1:$AB$530, $C98))), 1)) &amp; "*", '[1]Dettaglio pacchetti'!$A$1:$N$530, 1, FALSE) &amp; "", ""), "")</f>
        <v/>
      </c>
      <c r="AC98" t="str" cm="1">
        <f t="array" ref="AC98">IFERROR(
    VLOOKUP(
        INDEX('[1]Dettaglio pacchetti'!$AB$1:$AB$530, _xlfn.AGGREGATE(15,6,ROW($1:$345)/(ISNUMBER(SEARCH('[1]Dettaglio pacchetti'!$AB$1:$AB$530,$C98))),1)) &amp; "*",
        '[1]Dettaglio pacchetti'!$A$1:$I$530,
        7,
        FALSE
    ),
    IFERROR(VLOOKUP($C98, '[1]Dettaglio pacchetti'!$A$1:$I$530, 7, FALSE), "")
)</f>
        <v/>
      </c>
      <c r="AD98" t="str" cm="1">
        <f t="array" ref="AD98">IFERROR(
    VLOOKUP(
        INDEX('[1]Dettaglio pacchetti'!$AB$1:$AB$530, _xlfn.AGGREGATE(15,6,ROW($1:$345)/(ISNUMBER(SEARCH('[1]Dettaglio pacchetti'!$AB$1:$AB$530,$C98))),1)) &amp; "*",
        '[1]Dettaglio pacchetti'!$A$1:$I$530,
        6,
        FALSE
    ),
    IFERROR(VLOOKUP($C98, '[1]Dettaglio pacchetti'!$A$1:$I$530, 6, FALSE), "")
)</f>
        <v/>
      </c>
    </row>
    <row r="99" spans="3:30" hidden="1" x14ac:dyDescent="0.3">
      <c r="C99" s="22"/>
      <c r="D99" s="20" t="str" cm="1">
        <f t="array" ref="D99">IFERROR(
    _xlfn.LET(
        _xlpm.risultato,
        IFERROR(
            _xlfn.XLOOKUP(TRIM(UPPER(G99)),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pacchetti'!$E$1:$E$530))=TRIM(UPPER(G99)),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99" s="14" t="str" cm="1">
        <f t="array" ref="E99">IF(TRIM($B99)="SG-ANAGRAFE", "Bugni Batte",
    IF(TRIM($B99)="DW01A", "Cauda",
        IFERROR(
            VLOOKUP(
                INDEX('[1]Dettaglio pacchetti'!$AB$1:$AB$530,
                    _xlfn.AGGREGATE(15, 6,
                        (ROW($1:$345))/(ISNUMBER(SEARCH('[1]Dettaglio pacchetti'!$AB$1:$AB$530, $C99))),
                        1)
                ) &amp; "*",
                '[1]Dettaglio pacchetti'!$A$1:$I$530,
                3,
                FALSE
            ),
            IFERROR(VLOOKUP($C99, '[1]Dettaglio pacchetti'!$A$1:$I$530, 3, FALSE), "")
        )
    )
)</f>
        <v/>
      </c>
      <c r="F99" s="14" t="str" cm="1">
        <f t="array" ref="F99">IF(TRIM($B99)="DW01A", "ETL - EDW Estrattori",
    IFERROR(
        VLOOKUP(
            INDEX('[1]Dettaglio pacchetti'!$AB$1:$AB$530,
                _xlfn.AGGREGATE(15, 6,
                    (ROW($1:$345))/(ISNUMBER(SEARCH('[1]Dettaglio pacchetti'!$AB$1:$AB$530, $C99))),
                    1)
            ) &amp; "*",
            '[1]Dettaglio pacchetti'!$A$1:$I$530,
            4,
            FALSE
        ),
        IFERROR(VLOOKUP($C99, '[1]Dettaglio pacchetti'!$A$1:$I$530, 4, FALSE), "")
    )
)</f>
        <v/>
      </c>
      <c r="G99" s="14" t="str" cm="1">
        <f t="array" ref="G99">IF(TRIM($B99)="DW01A", "ETL - EDW Estrattori",
    IF(TRIM($B99)="SG-ANAGRAFE", "SIGEA Anagrafe",
        IFERROR(
            VLOOKUP(
                INDEX('[1]Dettaglio pacchetti'!$AB$1:$AB$530,
                    _xlfn.AGGREGATE(15, 6,
                        (ROW($1:$345))/(ISNUMBER(SEARCH('[1]Dettaglio pacchetti'!$AB$1:$AB$530, $C99))),
                        1)
                ) &amp; "*",
                '[1]Dettaglio pacchetti'!$A$1:$I$530,
                5,
                FALSE
            ),
            IFERROR(VLOOKUP($C99, '[1]Dettaglio pacchetti'!$A$1:$I$530, 5, FALSE), "")
        )
    )
)</f>
        <v/>
      </c>
      <c r="H99" s="14" t="str" cm="1">
        <f t="array" ref="H99">IFERROR(
    VLOOKUP(
        INDEX('[1]Dettaglio pacchetti'!$AB$1:$AB$530,
            _xlfn.AGGREGATE(15, 6,
                (ROW($1:$345))/(ISNUMBER(SEARCH('[1]Dettaglio pacchetti'!$AB$1:$AB$530, $C99))),
                1)
        ) &amp; "*",
        '[1]Dettaglio pacchetti'!$A$1:$I$530,
        6,
        FALSE
    ),
    IFERROR(VLOOKUP($C99, '[1]Dettaglio pacchetti'!$A$1:$I$530, 6, FALSE), "")
)</f>
        <v/>
      </c>
      <c r="I99" s="7" t="str">
        <f t="shared" si="6"/>
        <v/>
      </c>
      <c r="J99" t="str">
        <f t="shared" si="4"/>
        <v/>
      </c>
      <c r="K99" t="str">
        <f t="shared" si="5"/>
        <v/>
      </c>
      <c r="L99" s="14" t="str" cm="1">
        <f t="array" ref="L99">IFERROR(
    VLOOKUP(
        INDEX('[1]Dettaglio pacchetti'!$AB$1:$AB$530,
            _xlfn.AGGREGATE(15, 6,
                ROW($1:$345)/(ISNUMBER(SEARCH('[1]Dettaglio pacchetti'!$AB$1:$AB$530, $C99))),
                1)
        ) &amp; "*",
        '[1]Dettaglio pacchetti'!$A$1:$I$530,
        8,
        FALSE
    ),
    IFERROR(VLOOKUP($C99, '[1]Dettaglio pacchetti'!$A$1:$I$530, 8, FALSE), "")
)</f>
        <v/>
      </c>
      <c r="M99" s="14" t="str" cm="1">
        <f t="array" ref="M99">IFERROR(
    VLOOKUP(
        INDEX('[1]Dettaglio pacchetti'!$AB$1:$AB$530,
            _xlfn.AGGREGATE(15, 6,
                ROW($1:$345)/(ISNUMBER(SEARCH('[1]Dettaglio pacchetti'!$AB$1:$AB$530, $C99))),
                1)
        ) &amp; "*",
        '[1]Dettaglio pacchetti'!$A$1:$I$530,
        9,
        FALSE
    ),
    IFERROR(VLOOKUP($C99, '[1]Dettaglio pacchetti'!$A$1:$I$530, 9, FALSE), "")
)</f>
        <v/>
      </c>
      <c r="N99" s="7"/>
      <c r="P99" s="6"/>
      <c r="AA99" t="str" cm="1">
        <f t="array" ref="AA99">IFERROR(VLOOKUP(INDEX('[1]Dettaglio pacchetti'!$AB$1:$AB$530, _xlfn.AGGREGATE(15, 6, (ROW($1:$345))/(ISNUMBER(SEARCH('[1]Dettaglio pacchetti'!$AB$1:$AB$530, $C99))), 1)) &amp; "*", '[1]Dettaglio pacchetti'!$A$1:$N$530, 13, FALSE) &amp; "", "")</f>
        <v/>
      </c>
      <c r="AB99" t="str" cm="1">
        <f t="array" ref="AB99">IF(ISNUMBER(SEARCH("dev.azure.com", AA99)), IFERROR(VLOOKUP(INDEX('[1]Dettaglio pacchetti'!$AB$1:$AB$530, _xlfn.AGGREGATE(15, 6, (ROW($1:$345))/(ISNUMBER(SEARCH('[1]Dettaglio pacchetti'!$AB$1:$AB$530, $C99))), 1)) &amp; "*", '[1]Dettaglio pacchetti'!$A$1:$N$530, 1, FALSE) &amp; "", ""), "")</f>
        <v/>
      </c>
      <c r="AC99" t="str" cm="1">
        <f t="array" ref="AC99">IFERROR(
    VLOOKUP(
        INDEX('[1]Dettaglio pacchetti'!$AB$1:$AB$530, _xlfn.AGGREGATE(15,6,ROW($1:$345)/(ISNUMBER(SEARCH('[1]Dettaglio pacchetti'!$AB$1:$AB$530,$C99))),1)) &amp; "*",
        '[1]Dettaglio pacchetti'!$A$1:$I$530,
        7,
        FALSE
    ),
    IFERROR(VLOOKUP($C99, '[1]Dettaglio pacchetti'!$A$1:$I$530, 7, FALSE), "")
)</f>
        <v/>
      </c>
      <c r="AD99" t="str" cm="1">
        <f t="array" ref="AD99">IFERROR(
    VLOOKUP(
        INDEX('[1]Dettaglio pacchetti'!$AB$1:$AB$530, _xlfn.AGGREGATE(15,6,ROW($1:$345)/(ISNUMBER(SEARCH('[1]Dettaglio pacchetti'!$AB$1:$AB$530,$C99))),1)) &amp; "*",
        '[1]Dettaglio pacchetti'!$A$1:$I$530,
        6,
        FALSE
    ),
    IFERROR(VLOOKUP($C99, '[1]Dettaglio pacchetti'!$A$1:$I$530, 6, FALSE), "")
)</f>
        <v/>
      </c>
    </row>
    <row r="100" spans="3:30" hidden="1" x14ac:dyDescent="0.3">
      <c r="C100" s="22"/>
      <c r="D100" s="20" t="str" cm="1">
        <f t="array" ref="D100">IFERROR(
    _xlfn.LET(
        _xlpm.risultato,
        IFERROR(
            _xlfn.XLOOKUP(TRIM(UPPER(G100)),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pacchetti'!$E$1:$E$530))=TRIM(UPPER(G100)),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100" s="14" t="str" cm="1">
        <f t="array" ref="E100">IF(TRIM($B100)="SG-ANAGRAFE", "Bugni Batte",
    IF(TRIM($B100)="DW01A", "Cauda",
        IFERROR(
            VLOOKUP(
                INDEX('[1]Dettaglio pacchetti'!$AB$1:$AB$530,
                    _xlfn.AGGREGATE(15, 6,
                        (ROW($1:$345))/(ISNUMBER(SEARCH('[1]Dettaglio pacchetti'!$AB$1:$AB$530, $C100))),
                        1)
                ) &amp; "*",
                '[1]Dettaglio pacchetti'!$A$1:$I$530,
                3,
                FALSE
            ),
            IFERROR(VLOOKUP($C100, '[1]Dettaglio pacchetti'!$A$1:$I$530, 3, FALSE), "")
        )
    )
)</f>
        <v/>
      </c>
      <c r="F100" s="14" t="str" cm="1">
        <f t="array" ref="F100">IF(TRIM($B100)="DW01A", "ETL - EDW Estrattori",
    IFERROR(
        VLOOKUP(
            INDEX('[1]Dettaglio pacchetti'!$AB$1:$AB$530,
                _xlfn.AGGREGATE(15, 6,
                    (ROW($1:$345))/(ISNUMBER(SEARCH('[1]Dettaglio pacchetti'!$AB$1:$AB$530, $C100))),
                    1)
            ) &amp; "*",
            '[1]Dettaglio pacchetti'!$A$1:$I$530,
            4,
            FALSE
        ),
        IFERROR(VLOOKUP($C100, '[1]Dettaglio pacchetti'!$A$1:$I$530, 4, FALSE), "")
    )
)</f>
        <v/>
      </c>
      <c r="G100" s="14" t="str" cm="1">
        <f t="array" ref="G100">IF(TRIM($B100)="DW01A", "ETL - EDW Estrattori",
    IF(TRIM($B100)="SG-ANAGRAFE", "SIGEA Anagrafe",
        IFERROR(
            VLOOKUP(
                INDEX('[1]Dettaglio pacchetti'!$AB$1:$AB$530,
                    _xlfn.AGGREGATE(15, 6,
                        (ROW($1:$345))/(ISNUMBER(SEARCH('[1]Dettaglio pacchetti'!$AB$1:$AB$530, $C100))),
                        1)
                ) &amp; "*",
                '[1]Dettaglio pacchetti'!$A$1:$I$530,
                5,
                FALSE
            ),
            IFERROR(VLOOKUP($C100, '[1]Dettaglio pacchetti'!$A$1:$I$530, 5, FALSE), "")
        )
    )
)</f>
        <v/>
      </c>
      <c r="H100" s="14" t="str" cm="1">
        <f t="array" ref="H100">IFERROR(
    VLOOKUP(
        INDEX('[1]Dettaglio pacchetti'!$AB$1:$AB$530,
            _xlfn.AGGREGATE(15, 6,
                (ROW($1:$345))/(ISNUMBER(SEARCH('[1]Dettaglio pacchetti'!$AB$1:$AB$530, $C100))),
                1)
        ) &amp; "*",
        '[1]Dettaglio pacchetti'!$A$1:$I$530,
        6,
        FALSE
    ),
    IFERROR(VLOOKUP($C100, '[1]Dettaglio pacchetti'!$A$1:$I$530, 6, FALSE), "")
)</f>
        <v/>
      </c>
      <c r="I100" s="7" t="str">
        <f t="shared" si="6"/>
        <v/>
      </c>
      <c r="J100" t="str">
        <f t="shared" si="4"/>
        <v/>
      </c>
      <c r="K100" t="str">
        <f t="shared" si="5"/>
        <v/>
      </c>
      <c r="L100" s="14" t="str" cm="1">
        <f t="array" ref="L100">IFERROR(
    VLOOKUP(
        INDEX('[1]Dettaglio pacchetti'!$AB$1:$AB$530,
            _xlfn.AGGREGATE(15, 6,
                ROW($1:$345)/(ISNUMBER(SEARCH('[1]Dettaglio pacchetti'!$AB$1:$AB$530, $C100))),
                1)
        ) &amp; "*",
        '[1]Dettaglio pacchetti'!$A$1:$I$530,
        8,
        FALSE
    ),
    IFERROR(VLOOKUP($C100, '[1]Dettaglio pacchetti'!$A$1:$I$530, 8, FALSE), "")
)</f>
        <v/>
      </c>
      <c r="M100" s="14" t="str" cm="1">
        <f t="array" ref="M100">IFERROR(
    VLOOKUP(
        INDEX('[1]Dettaglio pacchetti'!$AB$1:$AB$530,
            _xlfn.AGGREGATE(15, 6,
                ROW($1:$345)/(ISNUMBER(SEARCH('[1]Dettaglio pacchetti'!$AB$1:$AB$530, $C100))),
                1)
        ) &amp; "*",
        '[1]Dettaglio pacchetti'!$A$1:$I$530,
        9,
        FALSE
    ),
    IFERROR(VLOOKUP($C100, '[1]Dettaglio pacchetti'!$A$1:$I$530, 9, FALSE), "")
)</f>
        <v/>
      </c>
      <c r="N100" s="7"/>
      <c r="P100" s="6"/>
      <c r="AA100" t="str" cm="1">
        <f t="array" ref="AA100">IFERROR(VLOOKUP(INDEX('[1]Dettaglio pacchetti'!$AB$1:$AB$530, _xlfn.AGGREGATE(15, 6, (ROW($1:$345))/(ISNUMBER(SEARCH('[1]Dettaglio pacchetti'!$AB$1:$AB$530, $C100))), 1)) &amp; "*", '[1]Dettaglio pacchetti'!$A$1:$N$530, 13, FALSE) &amp; "", "")</f>
        <v/>
      </c>
      <c r="AB100" t="str" cm="1">
        <f t="array" ref="AB100">IF(ISNUMBER(SEARCH("dev.azure.com", AA100)), IFERROR(VLOOKUP(INDEX('[1]Dettaglio pacchetti'!$AB$1:$AB$530, _xlfn.AGGREGATE(15, 6, (ROW($1:$345))/(ISNUMBER(SEARCH('[1]Dettaglio pacchetti'!$AB$1:$AB$530, $C100))), 1)) &amp; "*", '[1]Dettaglio pacchetti'!$A$1:$N$530, 1, FALSE) &amp; "", ""), "")</f>
        <v/>
      </c>
      <c r="AC100" t="str" cm="1">
        <f t="array" ref="AC100">IFERROR(
    VLOOKUP(
        INDEX('[1]Dettaglio pacchetti'!$AB$1:$AB$530, _xlfn.AGGREGATE(15,6,ROW($1:$345)/(ISNUMBER(SEARCH('[1]Dettaglio pacchetti'!$AB$1:$AB$530,$C100))),1)) &amp; "*",
        '[1]Dettaglio pacchetti'!$A$1:$I$530,
        7,
        FALSE
    ),
    IFERROR(VLOOKUP($C100, '[1]Dettaglio pacchetti'!$A$1:$I$530, 7, FALSE), "")
)</f>
        <v/>
      </c>
      <c r="AD100" t="str" cm="1">
        <f t="array" ref="AD100">IFERROR(
    VLOOKUP(
        INDEX('[1]Dettaglio pacchetti'!$AB$1:$AB$530, _xlfn.AGGREGATE(15,6,ROW($1:$345)/(ISNUMBER(SEARCH('[1]Dettaglio pacchetti'!$AB$1:$AB$530,$C100))),1)) &amp; "*",
        '[1]Dettaglio pacchetti'!$A$1:$I$530,
        6,
        FALSE
    ),
    IFERROR(VLOOKUP($C100, '[1]Dettaglio pacchetti'!$A$1:$I$530, 6, FALSE), "")
)</f>
        <v/>
      </c>
    </row>
    <row r="101" spans="3:30" hidden="1" x14ac:dyDescent="0.3">
      <c r="C101" s="22"/>
      <c r="D101" s="20" t="str" cm="1">
        <f t="array" ref="D101">IFERROR(
    _xlfn.LET(
        _xlpm.risultato,
        IFERROR(
            _xlfn.XLOOKUP(TRIM(UPPER(G101)),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pacchetti'!$E$1:$E$530))=TRIM(UPPER(G101)),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101" s="14" t="str" cm="1">
        <f t="array" ref="E101">IF(TRIM($B101)="SG-ANAGRAFE", "Bugni Batte",
    IF(TRIM($B101)="DW01A", "Cauda",
        IFERROR(
            VLOOKUP(
                INDEX('[1]Dettaglio pacchetti'!$AB$1:$AB$530,
                    _xlfn.AGGREGATE(15, 6,
                        (ROW($1:$345))/(ISNUMBER(SEARCH('[1]Dettaglio pacchetti'!$AB$1:$AB$530, $C101))),
                        1)
                ) &amp; "*",
                '[1]Dettaglio pacchetti'!$A$1:$I$530,
                3,
                FALSE
            ),
            IFERROR(VLOOKUP($C101, '[1]Dettaglio pacchetti'!$A$1:$I$530, 3, FALSE), "")
        )
    )
)</f>
        <v/>
      </c>
      <c r="F101" s="14" t="str" cm="1">
        <f t="array" ref="F101">IF(TRIM($B101)="DW01A", "ETL - EDW Estrattori",
    IFERROR(
        VLOOKUP(
            INDEX('[1]Dettaglio pacchetti'!$AB$1:$AB$530,
                _xlfn.AGGREGATE(15, 6,
                    (ROW($1:$345))/(ISNUMBER(SEARCH('[1]Dettaglio pacchetti'!$AB$1:$AB$530, $C101))),
                    1)
            ) &amp; "*",
            '[1]Dettaglio pacchetti'!$A$1:$I$530,
            4,
            FALSE
        ),
        IFERROR(VLOOKUP($C101, '[1]Dettaglio pacchetti'!$A$1:$I$530, 4, FALSE), "")
    )
)</f>
        <v/>
      </c>
      <c r="G101" s="14" t="str" cm="1">
        <f t="array" ref="G101">IF(TRIM($B101)="DW01A", "ETL - EDW Estrattori",
    IF(TRIM($B101)="SG-ANAGRAFE", "SIGEA Anagrafe",
        IFERROR(
            VLOOKUP(
                INDEX('[1]Dettaglio pacchetti'!$AB$1:$AB$530,
                    _xlfn.AGGREGATE(15, 6,
                        (ROW($1:$345))/(ISNUMBER(SEARCH('[1]Dettaglio pacchetti'!$AB$1:$AB$530, $C101))),
                        1)
                ) &amp; "*",
                '[1]Dettaglio pacchetti'!$A$1:$I$530,
                5,
                FALSE
            ),
            IFERROR(VLOOKUP($C101, '[1]Dettaglio pacchetti'!$A$1:$I$530, 5, FALSE), "")
        )
    )
)</f>
        <v/>
      </c>
      <c r="H101" s="14" t="str" cm="1">
        <f t="array" ref="H101">IFERROR(
    VLOOKUP(
        INDEX('[1]Dettaglio pacchetti'!$AB$1:$AB$530,
            _xlfn.AGGREGATE(15, 6,
                (ROW($1:$345))/(ISNUMBER(SEARCH('[1]Dettaglio pacchetti'!$AB$1:$AB$530, $C101))),
                1)
        ) &amp; "*",
        '[1]Dettaglio pacchetti'!$A$1:$I$530,
        6,
        FALSE
    ),
    IFERROR(VLOOKUP($C101, '[1]Dettaglio pacchetti'!$A$1:$I$530, 6, FALSE), "")
)</f>
        <v/>
      </c>
      <c r="I101" s="7" t="str">
        <f t="shared" si="6"/>
        <v/>
      </c>
      <c r="J101" t="str">
        <f t="shared" si="4"/>
        <v/>
      </c>
      <c r="K101" t="str">
        <f t="shared" si="5"/>
        <v/>
      </c>
      <c r="L101" s="14" t="str" cm="1">
        <f t="array" ref="L101">IFERROR(
    VLOOKUP(
        INDEX('[1]Dettaglio pacchetti'!$AB$1:$AB$530,
            _xlfn.AGGREGATE(15, 6,
                ROW($1:$345)/(ISNUMBER(SEARCH('[1]Dettaglio pacchetti'!$AB$1:$AB$530, $C101))),
                1)
        ) &amp; "*",
        '[1]Dettaglio pacchetti'!$A$1:$I$530,
        8,
        FALSE
    ),
    IFERROR(VLOOKUP($C101, '[1]Dettaglio pacchetti'!$A$1:$I$530, 8, FALSE), "")
)</f>
        <v/>
      </c>
      <c r="M101" s="14" t="str" cm="1">
        <f t="array" ref="M101">IFERROR(
    VLOOKUP(
        INDEX('[1]Dettaglio pacchetti'!$AB$1:$AB$530,
            _xlfn.AGGREGATE(15, 6,
                ROW($1:$345)/(ISNUMBER(SEARCH('[1]Dettaglio pacchetti'!$AB$1:$AB$530, $C101))),
                1)
        ) &amp; "*",
        '[1]Dettaglio pacchetti'!$A$1:$I$530,
        9,
        FALSE
    ),
    IFERROR(VLOOKUP($C101, '[1]Dettaglio pacchetti'!$A$1:$I$530, 9, FALSE), "")
)</f>
        <v/>
      </c>
      <c r="N101" s="7"/>
      <c r="P101" s="6"/>
      <c r="AA101" t="str" cm="1">
        <f t="array" ref="AA101">IFERROR(VLOOKUP(INDEX('[1]Dettaglio pacchetti'!$AB$1:$AB$530, _xlfn.AGGREGATE(15, 6, (ROW($1:$345))/(ISNUMBER(SEARCH('[1]Dettaglio pacchetti'!$AB$1:$AB$530, $C101))), 1)) &amp; "*", '[1]Dettaglio pacchetti'!$A$1:$N$530, 13, FALSE) &amp; "", "")</f>
        <v/>
      </c>
      <c r="AB101" t="str" cm="1">
        <f t="array" ref="AB101">IF(ISNUMBER(SEARCH("dev.azure.com", AA101)), IFERROR(VLOOKUP(INDEX('[1]Dettaglio pacchetti'!$AB$1:$AB$530, _xlfn.AGGREGATE(15, 6, (ROW($1:$345))/(ISNUMBER(SEARCH('[1]Dettaglio pacchetti'!$AB$1:$AB$530, $C101))), 1)) &amp; "*", '[1]Dettaglio pacchetti'!$A$1:$N$530, 1, FALSE) &amp; "", ""), "")</f>
        <v/>
      </c>
      <c r="AC101" t="str" cm="1">
        <f t="array" ref="AC101">IFERROR(
    VLOOKUP(
        INDEX('[1]Dettaglio pacchetti'!$AB$1:$AB$530, _xlfn.AGGREGATE(15,6,ROW($1:$345)/(ISNUMBER(SEARCH('[1]Dettaglio pacchetti'!$AB$1:$AB$530,$C101))),1)) &amp; "*",
        '[1]Dettaglio pacchetti'!$A$1:$I$530,
        7,
        FALSE
    ),
    IFERROR(VLOOKUP($C101, '[1]Dettaglio pacchetti'!$A$1:$I$530, 7, FALSE), "")
)</f>
        <v/>
      </c>
      <c r="AD101" t="str" cm="1">
        <f t="array" ref="AD101">IFERROR(
    VLOOKUP(
        INDEX('[1]Dettaglio pacchetti'!$AB$1:$AB$530, _xlfn.AGGREGATE(15,6,ROW($1:$345)/(ISNUMBER(SEARCH('[1]Dettaglio pacchetti'!$AB$1:$AB$530,$C101))),1)) &amp; "*",
        '[1]Dettaglio pacchetti'!$A$1:$I$530,
        6,
        FALSE
    ),
    IFERROR(VLOOKUP($C101, '[1]Dettaglio pacchetti'!$A$1:$I$530, 6, FALSE), "")
)</f>
        <v/>
      </c>
    </row>
    <row r="102" spans="3:30" hidden="1" x14ac:dyDescent="0.3">
      <c r="C102" s="22"/>
      <c r="D102" s="20" t="str" cm="1">
        <f t="array" ref="D102">IFERROR(
    _xlfn.LET(
        _xlpm.risultato,
        IFERROR(
            _xlfn.XLOOKUP(TRIM(UPPER(G102)),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pacchetti'!$E$1:$E$530))=TRIM(UPPER(G102)),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102" s="14" t="str" cm="1">
        <f t="array" ref="E102">IF(TRIM($B102)="SG-ANAGRAFE", "Bugni Batte",
    IF(TRIM($B102)="DW01A", "Cauda",
        IFERROR(
            VLOOKUP(
                INDEX('[1]Dettaglio pacchetti'!$AB$1:$AB$530,
                    _xlfn.AGGREGATE(15, 6,
                        (ROW($1:$345))/(ISNUMBER(SEARCH('[1]Dettaglio pacchetti'!$AB$1:$AB$530, $C102))),
                        1)
                ) &amp; "*",
                '[1]Dettaglio pacchetti'!$A$1:$I$530,
                3,
                FALSE
            ),
            IFERROR(VLOOKUP($C102, '[1]Dettaglio pacchetti'!$A$1:$I$530, 3, FALSE), "")
        )
    )
)</f>
        <v/>
      </c>
      <c r="F102" s="14" t="str" cm="1">
        <f t="array" ref="F102">IF(TRIM($B102)="DW01A", "ETL - EDW Estrattori",
    IFERROR(
        VLOOKUP(
            INDEX('[1]Dettaglio pacchetti'!$AB$1:$AB$530,
                _xlfn.AGGREGATE(15, 6,
                    (ROW($1:$345))/(ISNUMBER(SEARCH('[1]Dettaglio pacchetti'!$AB$1:$AB$530, $C102))),
                    1)
            ) &amp; "*",
            '[1]Dettaglio pacchetti'!$A$1:$I$530,
            4,
            FALSE
        ),
        IFERROR(VLOOKUP($C102, '[1]Dettaglio pacchetti'!$A$1:$I$530, 4, FALSE), "")
    )
)</f>
        <v/>
      </c>
      <c r="G102" s="14" t="str" cm="1">
        <f t="array" ref="G102">IF(TRIM($B102)="DW01A", "ETL - EDW Estrattori",
    IF(TRIM($B102)="SG-ANAGRAFE", "SIGEA Anagrafe",
        IFERROR(
            VLOOKUP(
                INDEX('[1]Dettaglio pacchetti'!$AB$1:$AB$530,
                    _xlfn.AGGREGATE(15, 6,
                        (ROW($1:$345))/(ISNUMBER(SEARCH('[1]Dettaglio pacchetti'!$AB$1:$AB$530, $C102))),
                        1)
                ) &amp; "*",
                '[1]Dettaglio pacchetti'!$A$1:$I$530,
                5,
                FALSE
            ),
            IFERROR(VLOOKUP($C102, '[1]Dettaglio pacchetti'!$A$1:$I$530, 5, FALSE), "")
        )
    )
)</f>
        <v/>
      </c>
      <c r="H102" s="14" t="str" cm="1">
        <f t="array" ref="H102">IFERROR(
    VLOOKUP(
        INDEX('[1]Dettaglio pacchetti'!$AB$1:$AB$530,
            _xlfn.AGGREGATE(15, 6,
                (ROW($1:$345))/(ISNUMBER(SEARCH('[1]Dettaglio pacchetti'!$AB$1:$AB$530, $C102))),
                1)
        ) &amp; "*",
        '[1]Dettaglio pacchetti'!$A$1:$I$530,
        6,
        FALSE
    ),
    IFERROR(VLOOKUP($C102, '[1]Dettaglio pacchetti'!$A$1:$I$530, 6, FALSE), "")
)</f>
        <v/>
      </c>
      <c r="I102" s="7" t="str">
        <f t="shared" si="6"/>
        <v/>
      </c>
      <c r="J102" t="str">
        <f t="shared" si="4"/>
        <v/>
      </c>
      <c r="K102" t="str">
        <f t="shared" si="5"/>
        <v/>
      </c>
      <c r="L102" s="14" t="str" cm="1">
        <f t="array" ref="L102">IFERROR(
    VLOOKUP(
        INDEX('[1]Dettaglio pacchetti'!$AB$1:$AB$530,
            _xlfn.AGGREGATE(15, 6,
                ROW($1:$345)/(ISNUMBER(SEARCH('[1]Dettaglio pacchetti'!$AB$1:$AB$530, $C102))),
                1)
        ) &amp; "*",
        '[1]Dettaglio pacchetti'!$A$1:$I$530,
        8,
        FALSE
    ),
    IFERROR(VLOOKUP($C102, '[1]Dettaglio pacchetti'!$A$1:$I$530, 8, FALSE), "")
)</f>
        <v/>
      </c>
      <c r="M102" s="14" t="str" cm="1">
        <f t="array" ref="M102">IFERROR(
    VLOOKUP(
        INDEX('[1]Dettaglio pacchetti'!$AB$1:$AB$530,
            _xlfn.AGGREGATE(15, 6,
                ROW($1:$345)/(ISNUMBER(SEARCH('[1]Dettaglio pacchetti'!$AB$1:$AB$530, $C102))),
                1)
        ) &amp; "*",
        '[1]Dettaglio pacchetti'!$A$1:$I$530,
        9,
        FALSE
    ),
    IFERROR(VLOOKUP($C102, '[1]Dettaglio pacchetti'!$A$1:$I$530, 9, FALSE), "")
)</f>
        <v/>
      </c>
      <c r="N102" s="7"/>
      <c r="P102" s="6"/>
      <c r="AA102" t="str" cm="1">
        <f t="array" ref="AA102">IFERROR(VLOOKUP(INDEX('[1]Dettaglio pacchetti'!$AB$1:$AB$530, _xlfn.AGGREGATE(15, 6, (ROW($1:$345))/(ISNUMBER(SEARCH('[1]Dettaglio pacchetti'!$AB$1:$AB$530, $C102))), 1)) &amp; "*", '[1]Dettaglio pacchetti'!$A$1:$N$530, 13, FALSE) &amp; "", "")</f>
        <v/>
      </c>
      <c r="AB102" t="str" cm="1">
        <f t="array" ref="AB102">IF(ISNUMBER(SEARCH("dev.azure.com", AA102)), IFERROR(VLOOKUP(INDEX('[1]Dettaglio pacchetti'!$AB$1:$AB$530, _xlfn.AGGREGATE(15, 6, (ROW($1:$345))/(ISNUMBER(SEARCH('[1]Dettaglio pacchetti'!$AB$1:$AB$530, $C102))), 1)) &amp; "*", '[1]Dettaglio pacchetti'!$A$1:$N$530, 1, FALSE) &amp; "", ""), "")</f>
        <v/>
      </c>
      <c r="AC102" t="str" cm="1">
        <f t="array" ref="AC102">IFERROR(
    VLOOKUP(
        INDEX('[1]Dettaglio pacchetti'!$AB$1:$AB$530, _xlfn.AGGREGATE(15,6,ROW($1:$345)/(ISNUMBER(SEARCH('[1]Dettaglio pacchetti'!$AB$1:$AB$530,$C102))),1)) &amp; "*",
        '[1]Dettaglio pacchetti'!$A$1:$I$530,
        7,
        FALSE
    ),
    IFERROR(VLOOKUP($C102, '[1]Dettaglio pacchetti'!$A$1:$I$530, 7, FALSE), "")
)</f>
        <v/>
      </c>
      <c r="AD102" t="str" cm="1">
        <f t="array" ref="AD102">IFERROR(
    VLOOKUP(
        INDEX('[1]Dettaglio pacchetti'!$AB$1:$AB$530, _xlfn.AGGREGATE(15,6,ROW($1:$345)/(ISNUMBER(SEARCH('[1]Dettaglio pacchetti'!$AB$1:$AB$530,$C102))),1)) &amp; "*",
        '[1]Dettaglio pacchetti'!$A$1:$I$530,
        6,
        FALSE
    ),
    IFERROR(VLOOKUP($C102, '[1]Dettaglio pacchetti'!$A$1:$I$530, 6, FALSE), "")
)</f>
        <v/>
      </c>
    </row>
    <row r="103" spans="3:30" hidden="1" x14ac:dyDescent="0.3">
      <c r="C103" s="22"/>
      <c r="D103" s="20" t="str" cm="1">
        <f t="array" ref="D103">IFERROR(
    _xlfn.LET(
        _xlpm.risultato,
        IFERROR(
            _xlfn.XLOOKUP(TRIM(UPPER(G103)),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pacchetti'!$E$1:$E$530))=TRIM(UPPER(G103)),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103" s="14" t="str" cm="1">
        <f t="array" ref="E103">IF(TRIM($B103)="SG-ANAGRAFE", "Bugni Batte",
    IF(TRIM($B103)="DW01A", "Cauda",
        IFERROR(
            VLOOKUP(
                INDEX('[1]Dettaglio pacchetti'!$AB$1:$AB$530,
                    _xlfn.AGGREGATE(15, 6,
                        (ROW($1:$345))/(ISNUMBER(SEARCH('[1]Dettaglio pacchetti'!$AB$1:$AB$530, $C103))),
                        1)
                ) &amp; "*",
                '[1]Dettaglio pacchetti'!$A$1:$I$530,
                3,
                FALSE
            ),
            IFERROR(VLOOKUP($C103, '[1]Dettaglio pacchetti'!$A$1:$I$530, 3, FALSE), "")
        )
    )
)</f>
        <v/>
      </c>
      <c r="F103" s="14" t="str" cm="1">
        <f t="array" ref="F103">IF(TRIM($B103)="DW01A", "ETL - EDW Estrattori",
    IFERROR(
        VLOOKUP(
            INDEX('[1]Dettaglio pacchetti'!$AB$1:$AB$530,
                _xlfn.AGGREGATE(15, 6,
                    (ROW($1:$345))/(ISNUMBER(SEARCH('[1]Dettaglio pacchetti'!$AB$1:$AB$530, $C103))),
                    1)
            ) &amp; "*",
            '[1]Dettaglio pacchetti'!$A$1:$I$530,
            4,
            FALSE
        ),
        IFERROR(VLOOKUP($C103, '[1]Dettaglio pacchetti'!$A$1:$I$530, 4, FALSE), "")
    )
)</f>
        <v/>
      </c>
      <c r="G103" s="14" t="str" cm="1">
        <f t="array" ref="G103">IF(TRIM($B103)="DW01A", "ETL - EDW Estrattori",
    IF(TRIM($B103)="SG-ANAGRAFE", "SIGEA Anagrafe",
        IFERROR(
            VLOOKUP(
                INDEX('[1]Dettaglio pacchetti'!$AB$1:$AB$530,
                    _xlfn.AGGREGATE(15, 6,
                        (ROW($1:$345))/(ISNUMBER(SEARCH('[1]Dettaglio pacchetti'!$AB$1:$AB$530, $C103))),
                        1)
                ) &amp; "*",
                '[1]Dettaglio pacchetti'!$A$1:$I$530,
                5,
                FALSE
            ),
            IFERROR(VLOOKUP($C103, '[1]Dettaglio pacchetti'!$A$1:$I$530, 5, FALSE), "")
        )
    )
)</f>
        <v/>
      </c>
      <c r="H103" s="14" t="str" cm="1">
        <f t="array" ref="H103">IFERROR(
    VLOOKUP(
        INDEX('[1]Dettaglio pacchetti'!$AB$1:$AB$530,
            _xlfn.AGGREGATE(15, 6,
                (ROW($1:$345))/(ISNUMBER(SEARCH('[1]Dettaglio pacchetti'!$AB$1:$AB$530, $C103))),
                1)
        ) &amp; "*",
        '[1]Dettaglio pacchetti'!$A$1:$I$530,
        6,
        FALSE
    ),
    IFERROR(VLOOKUP($C103, '[1]Dettaglio pacchetti'!$A$1:$I$530, 6, FALSE), "")
)</f>
        <v/>
      </c>
      <c r="I103" s="7" t="str">
        <f t="shared" si="6"/>
        <v/>
      </c>
      <c r="J103" t="str">
        <f t="shared" si="4"/>
        <v/>
      </c>
      <c r="K103" t="str">
        <f t="shared" si="5"/>
        <v/>
      </c>
      <c r="L103" s="14" t="str" cm="1">
        <f t="array" ref="L103">IFERROR(
    VLOOKUP(
        INDEX('[1]Dettaglio pacchetti'!$AB$1:$AB$530,
            _xlfn.AGGREGATE(15, 6,
                ROW($1:$345)/(ISNUMBER(SEARCH('[1]Dettaglio pacchetti'!$AB$1:$AB$530, $C103))),
                1)
        ) &amp; "*",
        '[1]Dettaglio pacchetti'!$A$1:$I$530,
        8,
        FALSE
    ),
    IFERROR(VLOOKUP($C103, '[1]Dettaglio pacchetti'!$A$1:$I$530, 8, FALSE), "")
)</f>
        <v/>
      </c>
      <c r="M103" s="14" t="str" cm="1">
        <f t="array" ref="M103">IFERROR(
    VLOOKUP(
        INDEX('[1]Dettaglio pacchetti'!$AB$1:$AB$530,
            _xlfn.AGGREGATE(15, 6,
                ROW($1:$345)/(ISNUMBER(SEARCH('[1]Dettaglio pacchetti'!$AB$1:$AB$530, $C103))),
                1)
        ) &amp; "*",
        '[1]Dettaglio pacchetti'!$A$1:$I$530,
        9,
        FALSE
    ),
    IFERROR(VLOOKUP($C103, '[1]Dettaglio pacchetti'!$A$1:$I$530, 9, FALSE), "")
)</f>
        <v/>
      </c>
      <c r="N103" s="7"/>
      <c r="P103" s="6"/>
      <c r="AA103" t="str" cm="1">
        <f t="array" ref="AA103">IFERROR(VLOOKUP(INDEX('[1]Dettaglio pacchetti'!$AB$1:$AB$530, _xlfn.AGGREGATE(15, 6, (ROW($1:$345))/(ISNUMBER(SEARCH('[1]Dettaglio pacchetti'!$AB$1:$AB$530, $C103))), 1)) &amp; "*", '[1]Dettaglio pacchetti'!$A$1:$N$530, 13, FALSE) &amp; "", "")</f>
        <v/>
      </c>
      <c r="AB103" t="str" cm="1">
        <f t="array" ref="AB103">IF(ISNUMBER(SEARCH("dev.azure.com", AA103)), IFERROR(VLOOKUP(INDEX('[1]Dettaglio pacchetti'!$AB$1:$AB$530, _xlfn.AGGREGATE(15, 6, (ROW($1:$345))/(ISNUMBER(SEARCH('[1]Dettaglio pacchetti'!$AB$1:$AB$530, $C103))), 1)) &amp; "*", '[1]Dettaglio pacchetti'!$A$1:$N$530, 1, FALSE) &amp; "", ""), "")</f>
        <v/>
      </c>
      <c r="AC103" t="str" cm="1">
        <f t="array" ref="AC103">IFERROR(
    VLOOKUP(
        INDEX('[1]Dettaglio pacchetti'!$AB$1:$AB$530, _xlfn.AGGREGATE(15,6,ROW($1:$345)/(ISNUMBER(SEARCH('[1]Dettaglio pacchetti'!$AB$1:$AB$530,$C103))),1)) &amp; "*",
        '[1]Dettaglio pacchetti'!$A$1:$I$530,
        7,
        FALSE
    ),
    IFERROR(VLOOKUP($C103, '[1]Dettaglio pacchetti'!$A$1:$I$530, 7, FALSE), "")
)</f>
        <v/>
      </c>
      <c r="AD103" t="str" cm="1">
        <f t="array" ref="AD103">IFERROR(
    VLOOKUP(
        INDEX('[1]Dettaglio pacchetti'!$AB$1:$AB$530, _xlfn.AGGREGATE(15,6,ROW($1:$345)/(ISNUMBER(SEARCH('[1]Dettaglio pacchetti'!$AB$1:$AB$530,$C103))),1)) &amp; "*",
        '[1]Dettaglio pacchetti'!$A$1:$I$530,
        6,
        FALSE
    ),
    IFERROR(VLOOKUP($C103, '[1]Dettaglio pacchetti'!$A$1:$I$530, 6, FALSE), "")
)</f>
        <v/>
      </c>
    </row>
    <row r="104" spans="3:30" hidden="1" x14ac:dyDescent="0.3">
      <c r="C104" s="22"/>
      <c r="D104" s="20" t="str" cm="1">
        <f t="array" ref="D104">IFERROR(
    _xlfn.LET(
        _xlpm.risultato,
        IFERROR(
            _xlfn.XLOOKUP(TRIM(UPPER(G104)),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pacchetti'!$E$1:$E$530))=TRIM(UPPER(G104)),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104" s="14" t="str" cm="1">
        <f t="array" ref="E104">IF(TRIM($B104)="SG-ANAGRAFE", "Bugni Batte",
    IF(TRIM($B104)="DW01A", "Cauda",
        IFERROR(
            VLOOKUP(
                INDEX('[1]Dettaglio pacchetti'!$AB$1:$AB$530,
                    _xlfn.AGGREGATE(15, 6,
                        (ROW($1:$345))/(ISNUMBER(SEARCH('[1]Dettaglio pacchetti'!$AB$1:$AB$530, $C104))),
                        1)
                ) &amp; "*",
                '[1]Dettaglio pacchetti'!$A$1:$I$530,
                3,
                FALSE
            ),
            IFERROR(VLOOKUP($C104, '[1]Dettaglio pacchetti'!$A$1:$I$530, 3, FALSE), "")
        )
    )
)</f>
        <v/>
      </c>
      <c r="F104" s="14" t="str" cm="1">
        <f t="array" ref="F104">IF(TRIM($B104)="DW01A", "ETL - EDW Estrattori",
    IFERROR(
        VLOOKUP(
            INDEX('[1]Dettaglio pacchetti'!$AB$1:$AB$530,
                _xlfn.AGGREGATE(15, 6,
                    (ROW($1:$345))/(ISNUMBER(SEARCH('[1]Dettaglio pacchetti'!$AB$1:$AB$530, $C104))),
                    1)
            ) &amp; "*",
            '[1]Dettaglio pacchetti'!$A$1:$I$530,
            4,
            FALSE
        ),
        IFERROR(VLOOKUP($C104, '[1]Dettaglio pacchetti'!$A$1:$I$530, 4, FALSE), "")
    )
)</f>
        <v/>
      </c>
      <c r="G104" s="14" t="str" cm="1">
        <f t="array" ref="G104">IF(TRIM($B104)="DW01A", "ETL - EDW Estrattori",
    IF(TRIM($B104)="SG-ANAGRAFE", "SIGEA Anagrafe",
        IFERROR(
            VLOOKUP(
                INDEX('[1]Dettaglio pacchetti'!$AB$1:$AB$530,
                    _xlfn.AGGREGATE(15, 6,
                        (ROW($1:$345))/(ISNUMBER(SEARCH('[1]Dettaglio pacchetti'!$AB$1:$AB$530, $C104))),
                        1)
                ) &amp; "*",
                '[1]Dettaglio pacchetti'!$A$1:$I$530,
                5,
                FALSE
            ),
            IFERROR(VLOOKUP($C104, '[1]Dettaglio pacchetti'!$A$1:$I$530, 5, FALSE), "")
        )
    )
)</f>
        <v/>
      </c>
      <c r="H104" s="14" t="str" cm="1">
        <f t="array" ref="H104">IFERROR(
    VLOOKUP(
        INDEX('[1]Dettaglio pacchetti'!$AB$1:$AB$530,
            _xlfn.AGGREGATE(15, 6,
                (ROW($1:$345))/(ISNUMBER(SEARCH('[1]Dettaglio pacchetti'!$AB$1:$AB$530, $C104))),
                1)
        ) &amp; "*",
        '[1]Dettaglio pacchetti'!$A$1:$I$530,
        6,
        FALSE
    ),
    IFERROR(VLOOKUP($C104, '[1]Dettaglio pacchetti'!$A$1:$I$530, 6, FALSE), "")
)</f>
        <v/>
      </c>
      <c r="I104" s="7" t="str">
        <f t="shared" si="6"/>
        <v/>
      </c>
      <c r="J104" t="str">
        <f t="shared" si="4"/>
        <v/>
      </c>
      <c r="K104" t="str">
        <f t="shared" si="5"/>
        <v/>
      </c>
      <c r="L104" s="14" t="str" cm="1">
        <f t="array" ref="L104">IFERROR(
    VLOOKUP(
        INDEX('[1]Dettaglio pacchetti'!$AB$1:$AB$530,
            _xlfn.AGGREGATE(15, 6,
                ROW($1:$345)/(ISNUMBER(SEARCH('[1]Dettaglio pacchetti'!$AB$1:$AB$530, $C104))),
                1)
        ) &amp; "*",
        '[1]Dettaglio pacchetti'!$A$1:$I$530,
        8,
        FALSE
    ),
    IFERROR(VLOOKUP($C104, '[1]Dettaglio pacchetti'!$A$1:$I$530, 8, FALSE), "")
)</f>
        <v/>
      </c>
      <c r="M104" s="14" t="str" cm="1">
        <f t="array" ref="M104">IFERROR(
    VLOOKUP(
        INDEX('[1]Dettaglio pacchetti'!$AB$1:$AB$530,
            _xlfn.AGGREGATE(15, 6,
                ROW($1:$345)/(ISNUMBER(SEARCH('[1]Dettaglio pacchetti'!$AB$1:$AB$530, $C104))),
                1)
        ) &amp; "*",
        '[1]Dettaglio pacchetti'!$A$1:$I$530,
        9,
        FALSE
    ),
    IFERROR(VLOOKUP($C104, '[1]Dettaglio pacchetti'!$A$1:$I$530, 9, FALSE), "")
)</f>
        <v/>
      </c>
      <c r="N104" s="7"/>
      <c r="P104" s="6"/>
      <c r="AA104" t="str" cm="1">
        <f t="array" ref="AA104">IFERROR(VLOOKUP(INDEX('[1]Dettaglio pacchetti'!$AB$1:$AB$530, _xlfn.AGGREGATE(15, 6, (ROW($1:$345))/(ISNUMBER(SEARCH('[1]Dettaglio pacchetti'!$AB$1:$AB$530, $C104))), 1)) &amp; "*", '[1]Dettaglio pacchetti'!$A$1:$N$530, 13, FALSE) &amp; "", "")</f>
        <v/>
      </c>
      <c r="AB104" t="str" cm="1">
        <f t="array" ref="AB104">IF(ISNUMBER(SEARCH("dev.azure.com", AA104)), IFERROR(VLOOKUP(INDEX('[1]Dettaglio pacchetti'!$AB$1:$AB$530, _xlfn.AGGREGATE(15, 6, (ROW($1:$345))/(ISNUMBER(SEARCH('[1]Dettaglio pacchetti'!$AB$1:$AB$530, $C104))), 1)) &amp; "*", '[1]Dettaglio pacchetti'!$A$1:$N$530, 1, FALSE) &amp; "", ""), "")</f>
        <v/>
      </c>
      <c r="AC104" t="str" cm="1">
        <f t="array" ref="AC104">IFERROR(
    VLOOKUP(
        INDEX('[1]Dettaglio pacchetti'!$AB$1:$AB$530, _xlfn.AGGREGATE(15,6,ROW($1:$345)/(ISNUMBER(SEARCH('[1]Dettaglio pacchetti'!$AB$1:$AB$530,$C104))),1)) &amp; "*",
        '[1]Dettaglio pacchetti'!$A$1:$I$530,
        7,
        FALSE
    ),
    IFERROR(VLOOKUP($C104, '[1]Dettaglio pacchetti'!$A$1:$I$530, 7, FALSE), "")
)</f>
        <v/>
      </c>
      <c r="AD104" t="str" cm="1">
        <f t="array" ref="AD104">IFERROR(
    VLOOKUP(
        INDEX('[1]Dettaglio pacchetti'!$AB$1:$AB$530, _xlfn.AGGREGATE(15,6,ROW($1:$345)/(ISNUMBER(SEARCH('[1]Dettaglio pacchetti'!$AB$1:$AB$530,$C104))),1)) &amp; "*",
        '[1]Dettaglio pacchetti'!$A$1:$I$530,
        6,
        FALSE
    ),
    IFERROR(VLOOKUP($C104, '[1]Dettaglio pacchetti'!$A$1:$I$530, 6, FALSE), "")
)</f>
        <v/>
      </c>
    </row>
    <row r="105" spans="3:30" hidden="1" x14ac:dyDescent="0.3">
      <c r="C105" s="22"/>
      <c r="D105" s="20" t="str" cm="1">
        <f t="array" ref="D105">IFERROR(
    _xlfn.LET(
        _xlpm.risultato,
        IFERROR(
            _xlfn.XLOOKUP(TRIM(UPPER(G105)),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pacchetti'!$E$1:$E$530))=TRIM(UPPER(G105)),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105" s="14" t="str" cm="1">
        <f t="array" ref="E105">IF(TRIM($B105)="SG-ANAGRAFE", "Bugni Batte",
    IF(TRIM($B105)="DW01A", "Cauda",
        IFERROR(
            VLOOKUP(
                INDEX('[1]Dettaglio pacchetti'!$AB$1:$AB$530,
                    _xlfn.AGGREGATE(15, 6,
                        (ROW($1:$345))/(ISNUMBER(SEARCH('[1]Dettaglio pacchetti'!$AB$1:$AB$530, $C105))),
                        1)
                ) &amp; "*",
                '[1]Dettaglio pacchetti'!$A$1:$I$530,
                3,
                FALSE
            ),
            IFERROR(VLOOKUP($C105, '[1]Dettaglio pacchetti'!$A$1:$I$530, 3, FALSE), "")
        )
    )
)</f>
        <v/>
      </c>
      <c r="F105" s="14" t="str" cm="1">
        <f t="array" ref="F105">IF(TRIM($B105)="DW01A", "ETL - EDW Estrattori",
    IFERROR(
        VLOOKUP(
            INDEX('[1]Dettaglio pacchetti'!$AB$1:$AB$530,
                _xlfn.AGGREGATE(15, 6,
                    (ROW($1:$345))/(ISNUMBER(SEARCH('[1]Dettaglio pacchetti'!$AB$1:$AB$530, $C105))),
                    1)
            ) &amp; "*",
            '[1]Dettaglio pacchetti'!$A$1:$I$530,
            4,
            FALSE
        ),
        IFERROR(VLOOKUP($C105, '[1]Dettaglio pacchetti'!$A$1:$I$530, 4, FALSE), "")
    )
)</f>
        <v/>
      </c>
      <c r="G105" s="14" t="str" cm="1">
        <f t="array" ref="G105">IF(TRIM($B105)="DW01A", "ETL - EDW Estrattori",
    IF(TRIM($B105)="SG-ANAGRAFE", "SIGEA Anagrafe",
        IFERROR(
            VLOOKUP(
                INDEX('[1]Dettaglio pacchetti'!$AB$1:$AB$530,
                    _xlfn.AGGREGATE(15, 6,
                        (ROW($1:$345))/(ISNUMBER(SEARCH('[1]Dettaglio pacchetti'!$AB$1:$AB$530, $C105))),
                        1)
                ) &amp; "*",
                '[1]Dettaglio pacchetti'!$A$1:$I$530,
                5,
                FALSE
            ),
            IFERROR(VLOOKUP($C105, '[1]Dettaglio pacchetti'!$A$1:$I$530, 5, FALSE), "")
        )
    )
)</f>
        <v/>
      </c>
      <c r="H105" s="14" t="str" cm="1">
        <f t="array" ref="H105">IFERROR(
    VLOOKUP(
        INDEX('[1]Dettaglio pacchetti'!$AB$1:$AB$530,
            _xlfn.AGGREGATE(15, 6,
                (ROW($1:$345))/(ISNUMBER(SEARCH('[1]Dettaglio pacchetti'!$AB$1:$AB$530, $C105))),
                1)
        ) &amp; "*",
        '[1]Dettaglio pacchetti'!$A$1:$I$530,
        6,
        FALSE
    ),
    IFERROR(VLOOKUP($C105, '[1]Dettaglio pacchetti'!$A$1:$I$530, 6, FALSE), "")
)</f>
        <v/>
      </c>
      <c r="I105" s="7" t="str">
        <f t="shared" si="6"/>
        <v/>
      </c>
      <c r="J105" t="str">
        <f t="shared" si="4"/>
        <v/>
      </c>
      <c r="K105" t="str">
        <f t="shared" si="5"/>
        <v/>
      </c>
      <c r="L105" s="14" t="str" cm="1">
        <f t="array" ref="L105">IFERROR(
    VLOOKUP(
        INDEX('[1]Dettaglio pacchetti'!$AB$1:$AB$530,
            _xlfn.AGGREGATE(15, 6,
                ROW($1:$345)/(ISNUMBER(SEARCH('[1]Dettaglio pacchetti'!$AB$1:$AB$530, $C105))),
                1)
        ) &amp; "*",
        '[1]Dettaglio pacchetti'!$A$1:$I$530,
        8,
        FALSE
    ),
    IFERROR(VLOOKUP($C105, '[1]Dettaglio pacchetti'!$A$1:$I$530, 8, FALSE), "")
)</f>
        <v/>
      </c>
      <c r="M105" s="14" t="str" cm="1">
        <f t="array" ref="M105">IFERROR(
    VLOOKUP(
        INDEX('[1]Dettaglio pacchetti'!$AB$1:$AB$530,
            _xlfn.AGGREGATE(15, 6,
                ROW($1:$345)/(ISNUMBER(SEARCH('[1]Dettaglio pacchetti'!$AB$1:$AB$530, $C105))),
                1)
        ) &amp; "*",
        '[1]Dettaglio pacchetti'!$A$1:$I$530,
        9,
        FALSE
    ),
    IFERROR(VLOOKUP($C105, '[1]Dettaglio pacchetti'!$A$1:$I$530, 9, FALSE), "")
)</f>
        <v/>
      </c>
      <c r="N105" s="7"/>
      <c r="P105" s="6"/>
      <c r="AA105" t="str" cm="1">
        <f t="array" ref="AA105">IFERROR(VLOOKUP(INDEX('[1]Dettaglio pacchetti'!$AB$1:$AB$530, _xlfn.AGGREGATE(15, 6, (ROW($1:$345))/(ISNUMBER(SEARCH('[1]Dettaglio pacchetti'!$AB$1:$AB$530, $C105))), 1)) &amp; "*", '[1]Dettaglio pacchetti'!$A$1:$N$530, 13, FALSE) &amp; "", "")</f>
        <v/>
      </c>
      <c r="AB105" t="str" cm="1">
        <f t="array" ref="AB105">IF(ISNUMBER(SEARCH("dev.azure.com", AA105)), IFERROR(VLOOKUP(INDEX('[1]Dettaglio pacchetti'!$AB$1:$AB$530, _xlfn.AGGREGATE(15, 6, (ROW($1:$345))/(ISNUMBER(SEARCH('[1]Dettaglio pacchetti'!$AB$1:$AB$530, $C105))), 1)) &amp; "*", '[1]Dettaglio pacchetti'!$A$1:$N$530, 1, FALSE) &amp; "", ""), "")</f>
        <v/>
      </c>
      <c r="AC105" t="str" cm="1">
        <f t="array" ref="AC105">IFERROR(
    VLOOKUP(
        INDEX('[1]Dettaglio pacchetti'!$AB$1:$AB$530, _xlfn.AGGREGATE(15,6,ROW($1:$345)/(ISNUMBER(SEARCH('[1]Dettaglio pacchetti'!$AB$1:$AB$530,$C105))),1)) &amp; "*",
        '[1]Dettaglio pacchetti'!$A$1:$I$530,
        7,
        FALSE
    ),
    IFERROR(VLOOKUP($C105, '[1]Dettaglio pacchetti'!$A$1:$I$530, 7, FALSE), "")
)</f>
        <v/>
      </c>
      <c r="AD105" t="str" cm="1">
        <f t="array" ref="AD105">IFERROR(
    VLOOKUP(
        INDEX('[1]Dettaglio pacchetti'!$AB$1:$AB$530, _xlfn.AGGREGATE(15,6,ROW($1:$345)/(ISNUMBER(SEARCH('[1]Dettaglio pacchetti'!$AB$1:$AB$530,$C105))),1)) &amp; "*",
        '[1]Dettaglio pacchetti'!$A$1:$I$530,
        6,
        FALSE
    ),
    IFERROR(VLOOKUP($C105, '[1]Dettaglio pacchetti'!$A$1:$I$530, 6, FALSE), "")
)</f>
        <v/>
      </c>
    </row>
    <row r="106" spans="3:30" hidden="1" x14ac:dyDescent="0.3">
      <c r="C106" s="22"/>
      <c r="D106" s="20" t="str" cm="1">
        <f t="array" ref="D106">IFERROR(
    _xlfn.LET(
        _xlpm.risultato,
        IFERROR(
            _xlfn.XLOOKUP(TRIM(UPPER(G106)),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pacchetti'!$E$1:$E$530))=TRIM(UPPER(G106)),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106" s="14" t="str" cm="1">
        <f t="array" ref="E106">IF(TRIM($B106)="SG-ANAGRAFE", "Bugni Batte",
    IF(TRIM($B106)="DW01A", "Cauda",
        IFERROR(
            VLOOKUP(
                INDEX('[1]Dettaglio pacchetti'!$AB$1:$AB$530,
                    _xlfn.AGGREGATE(15, 6,
                        (ROW($1:$345))/(ISNUMBER(SEARCH('[1]Dettaglio pacchetti'!$AB$1:$AB$530, $C106))),
                        1)
                ) &amp; "*",
                '[1]Dettaglio pacchetti'!$A$1:$I$530,
                3,
                FALSE
            ),
            IFERROR(VLOOKUP($C106, '[1]Dettaglio pacchetti'!$A$1:$I$530, 3, FALSE), "")
        )
    )
)</f>
        <v/>
      </c>
      <c r="F106" s="14" t="str" cm="1">
        <f t="array" ref="F106">IF(TRIM($B106)="DW01A", "ETL - EDW Estrattori",
    IFERROR(
        VLOOKUP(
            INDEX('[1]Dettaglio pacchetti'!$AB$1:$AB$530,
                _xlfn.AGGREGATE(15, 6,
                    (ROW($1:$345))/(ISNUMBER(SEARCH('[1]Dettaglio pacchetti'!$AB$1:$AB$530, $C106))),
                    1)
            ) &amp; "*",
            '[1]Dettaglio pacchetti'!$A$1:$I$530,
            4,
            FALSE
        ),
        IFERROR(VLOOKUP($C106, '[1]Dettaglio pacchetti'!$A$1:$I$530, 4, FALSE), "")
    )
)</f>
        <v/>
      </c>
      <c r="G106" s="14" t="str" cm="1">
        <f t="array" ref="G106">IF(TRIM($B106)="DW01A", "ETL - EDW Estrattori",
    IF(TRIM($B106)="SG-ANAGRAFE", "SIGEA Anagrafe",
        IFERROR(
            VLOOKUP(
                INDEX('[1]Dettaglio pacchetti'!$AB$1:$AB$530,
                    _xlfn.AGGREGATE(15, 6,
                        (ROW($1:$345))/(ISNUMBER(SEARCH('[1]Dettaglio pacchetti'!$AB$1:$AB$530, $C106))),
                        1)
                ) &amp; "*",
                '[1]Dettaglio pacchetti'!$A$1:$I$530,
                5,
                FALSE
            ),
            IFERROR(VLOOKUP($C106, '[1]Dettaglio pacchetti'!$A$1:$I$530, 5, FALSE), "")
        )
    )
)</f>
        <v/>
      </c>
      <c r="H106" s="14" t="str" cm="1">
        <f t="array" ref="H106">IFERROR(
    VLOOKUP(
        INDEX('[1]Dettaglio pacchetti'!$AB$1:$AB$530,
            _xlfn.AGGREGATE(15, 6,
                (ROW($1:$345))/(ISNUMBER(SEARCH('[1]Dettaglio pacchetti'!$AB$1:$AB$530, $C106))),
                1)
        ) &amp; "*",
        '[1]Dettaglio pacchetti'!$A$1:$I$530,
        6,
        FALSE
    ),
    IFERROR(VLOOKUP($C106, '[1]Dettaglio pacchetti'!$A$1:$I$530, 6, FALSE), "")
)</f>
        <v/>
      </c>
      <c r="I106" s="7" t="str">
        <f t="shared" si="6"/>
        <v/>
      </c>
      <c r="J106" t="str">
        <f t="shared" si="4"/>
        <v/>
      </c>
      <c r="K106" t="str">
        <f t="shared" si="5"/>
        <v/>
      </c>
      <c r="L106" s="14" t="str" cm="1">
        <f t="array" ref="L106">IFERROR(
    VLOOKUP(
        INDEX('[1]Dettaglio pacchetti'!$AB$1:$AB$530,
            _xlfn.AGGREGATE(15, 6,
                ROW($1:$345)/(ISNUMBER(SEARCH('[1]Dettaglio pacchetti'!$AB$1:$AB$530, $C106))),
                1)
        ) &amp; "*",
        '[1]Dettaglio pacchetti'!$A$1:$I$530,
        8,
        FALSE
    ),
    IFERROR(VLOOKUP($C106, '[1]Dettaglio pacchetti'!$A$1:$I$530, 8, FALSE), "")
)</f>
        <v/>
      </c>
      <c r="M106" s="14" t="str" cm="1">
        <f t="array" ref="M106">IFERROR(
    VLOOKUP(
        INDEX('[1]Dettaglio pacchetti'!$AB$1:$AB$530,
            _xlfn.AGGREGATE(15, 6,
                ROW($1:$345)/(ISNUMBER(SEARCH('[1]Dettaglio pacchetti'!$AB$1:$AB$530, $C106))),
                1)
        ) &amp; "*",
        '[1]Dettaglio pacchetti'!$A$1:$I$530,
        9,
        FALSE
    ),
    IFERROR(VLOOKUP($C106, '[1]Dettaglio pacchetti'!$A$1:$I$530, 9, FALSE), "")
)</f>
        <v/>
      </c>
      <c r="N106" s="7"/>
      <c r="P106" s="6"/>
      <c r="AA106" t="str" cm="1">
        <f t="array" ref="AA106">IFERROR(VLOOKUP(INDEX('[1]Dettaglio pacchetti'!$AB$1:$AB$530, _xlfn.AGGREGATE(15, 6, (ROW($1:$345))/(ISNUMBER(SEARCH('[1]Dettaglio pacchetti'!$AB$1:$AB$530, $C106))), 1)) &amp; "*", '[1]Dettaglio pacchetti'!$A$1:$N$530, 13, FALSE) &amp; "", "")</f>
        <v/>
      </c>
      <c r="AB106" t="str" cm="1">
        <f t="array" ref="AB106">IF(ISNUMBER(SEARCH("dev.azure.com", AA106)), IFERROR(VLOOKUP(INDEX('[1]Dettaglio pacchetti'!$AB$1:$AB$530, _xlfn.AGGREGATE(15, 6, (ROW($1:$345))/(ISNUMBER(SEARCH('[1]Dettaglio pacchetti'!$AB$1:$AB$530, $C106))), 1)) &amp; "*", '[1]Dettaglio pacchetti'!$A$1:$N$530, 1, FALSE) &amp; "", ""), "")</f>
        <v/>
      </c>
      <c r="AC106" t="str" cm="1">
        <f t="array" ref="AC106">IFERROR(
    VLOOKUP(
        INDEX('[1]Dettaglio pacchetti'!$AB$1:$AB$530, _xlfn.AGGREGATE(15,6,ROW($1:$345)/(ISNUMBER(SEARCH('[1]Dettaglio pacchetti'!$AB$1:$AB$530,$C106))),1)) &amp; "*",
        '[1]Dettaglio pacchetti'!$A$1:$I$530,
        7,
        FALSE
    ),
    IFERROR(VLOOKUP($C106, '[1]Dettaglio pacchetti'!$A$1:$I$530, 7, FALSE), "")
)</f>
        <v/>
      </c>
      <c r="AD106" t="str" cm="1">
        <f t="array" ref="AD106">IFERROR(
    VLOOKUP(
        INDEX('[1]Dettaglio pacchetti'!$AB$1:$AB$530, _xlfn.AGGREGATE(15,6,ROW($1:$345)/(ISNUMBER(SEARCH('[1]Dettaglio pacchetti'!$AB$1:$AB$530,$C106))),1)) &amp; "*",
        '[1]Dettaglio pacchetti'!$A$1:$I$530,
        6,
        FALSE
    ),
    IFERROR(VLOOKUP($C106, '[1]Dettaglio pacchetti'!$A$1:$I$530, 6, FALSE), "")
)</f>
        <v/>
      </c>
    </row>
    <row r="107" spans="3:30" hidden="1" x14ac:dyDescent="0.3">
      <c r="C107" s="22"/>
      <c r="D107" s="20" t="str" cm="1">
        <f t="array" ref="D107">IFERROR(
    _xlfn.LET(
        _xlpm.risultato,
        IFERROR(
            _xlfn.XLOOKUP(TRIM(UPPER(G107)),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pacchetti'!$E$1:$E$530))=TRIM(UPPER(G107)),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107" s="14" t="str" cm="1">
        <f t="array" ref="E107">IF(TRIM($B107)="SG-ANAGRAFE", "Bugni Batte",
    IF(TRIM($B107)="DW01A", "Cauda",
        IFERROR(
            VLOOKUP(
                INDEX('[1]Dettaglio pacchetti'!$AB$1:$AB$530,
                    _xlfn.AGGREGATE(15, 6,
                        (ROW($1:$345))/(ISNUMBER(SEARCH('[1]Dettaglio pacchetti'!$AB$1:$AB$530, $C107))),
                        1)
                ) &amp; "*",
                '[1]Dettaglio pacchetti'!$A$1:$I$530,
                3,
                FALSE
            ),
            IFERROR(VLOOKUP($C107, '[1]Dettaglio pacchetti'!$A$1:$I$530, 3, FALSE), "")
        )
    )
)</f>
        <v/>
      </c>
      <c r="F107" s="14" t="str" cm="1">
        <f t="array" ref="F107">IF(TRIM($B107)="DW01A", "ETL - EDW Estrattori",
    IFERROR(
        VLOOKUP(
            INDEX('[1]Dettaglio pacchetti'!$AB$1:$AB$530,
                _xlfn.AGGREGATE(15, 6,
                    (ROW($1:$345))/(ISNUMBER(SEARCH('[1]Dettaglio pacchetti'!$AB$1:$AB$530, $C107))),
                    1)
            ) &amp; "*",
            '[1]Dettaglio pacchetti'!$A$1:$I$530,
            4,
            FALSE
        ),
        IFERROR(VLOOKUP($C107, '[1]Dettaglio pacchetti'!$A$1:$I$530, 4, FALSE), "")
    )
)</f>
        <v/>
      </c>
      <c r="G107" s="14" t="str" cm="1">
        <f t="array" ref="G107">IF(TRIM($B107)="DW01A", "ETL - EDW Estrattori",
    IF(TRIM($B107)="SG-ANAGRAFE", "SIGEA Anagrafe",
        IFERROR(
            VLOOKUP(
                INDEX('[1]Dettaglio pacchetti'!$AB$1:$AB$530,
                    _xlfn.AGGREGATE(15, 6,
                        (ROW($1:$345))/(ISNUMBER(SEARCH('[1]Dettaglio pacchetti'!$AB$1:$AB$530, $C107))),
                        1)
                ) &amp; "*",
                '[1]Dettaglio pacchetti'!$A$1:$I$530,
                5,
                FALSE
            ),
            IFERROR(VLOOKUP($C107, '[1]Dettaglio pacchetti'!$A$1:$I$530, 5, FALSE), "")
        )
    )
)</f>
        <v/>
      </c>
      <c r="H107" s="14" t="str" cm="1">
        <f t="array" ref="H107">IFERROR(
    VLOOKUP(
        INDEX('[1]Dettaglio pacchetti'!$AB$1:$AB$530,
            _xlfn.AGGREGATE(15, 6,
                (ROW($1:$345))/(ISNUMBER(SEARCH('[1]Dettaglio pacchetti'!$AB$1:$AB$530, $C107))),
                1)
        ) &amp; "*",
        '[1]Dettaglio pacchetti'!$A$1:$I$530,
        6,
        FALSE
    ),
    IFERROR(VLOOKUP($C107, '[1]Dettaglio pacchetti'!$A$1:$I$530, 6, FALSE), "")
)</f>
        <v/>
      </c>
      <c r="I107" s="7" t="str">
        <f t="shared" si="6"/>
        <v/>
      </c>
      <c r="J107" t="str">
        <f t="shared" ref="J107:J153" si="7">IF($AC107="", "",
    IF(ISNUMBER(SEARCH("Ikan", $AD107)),
        "",
        HYPERLINK("https://dev.azure.com/realeitesorg/" &amp; $AC107, $AC107)
    )
)</f>
        <v/>
      </c>
      <c r="K107" t="str">
        <f t="shared" ref="K107:K153" si="8">IF($AC107="", "", IF(ISNUMBER(SEARCH("Ikan", $AD107)), $AC107, "" ) )</f>
        <v/>
      </c>
      <c r="L107" s="14" t="str" cm="1">
        <f t="array" ref="L107">IFERROR(
    VLOOKUP(
        INDEX('[1]Dettaglio pacchetti'!$AB$1:$AB$530,
            _xlfn.AGGREGATE(15, 6,
                ROW($1:$345)/(ISNUMBER(SEARCH('[1]Dettaglio pacchetti'!$AB$1:$AB$530, $C107))),
                1)
        ) &amp; "*",
        '[1]Dettaglio pacchetti'!$A$1:$I$530,
        8,
        FALSE
    ),
    IFERROR(VLOOKUP($C107, '[1]Dettaglio pacchetti'!$A$1:$I$530, 8, FALSE), "")
)</f>
        <v/>
      </c>
      <c r="M107" s="14" t="str" cm="1">
        <f t="array" ref="M107">IFERROR(
    VLOOKUP(
        INDEX('[1]Dettaglio pacchetti'!$AB$1:$AB$530,
            _xlfn.AGGREGATE(15, 6,
                ROW($1:$345)/(ISNUMBER(SEARCH('[1]Dettaglio pacchetti'!$AB$1:$AB$530, $C107))),
                1)
        ) &amp; "*",
        '[1]Dettaglio pacchetti'!$A$1:$I$530,
        9,
        FALSE
    ),
    IFERROR(VLOOKUP($C107, '[1]Dettaglio pacchetti'!$A$1:$I$530, 9, FALSE), "")
)</f>
        <v/>
      </c>
      <c r="N107" s="7"/>
      <c r="P107" s="6"/>
      <c r="AA107" t="str" cm="1">
        <f t="array" ref="AA107">IFERROR(VLOOKUP(INDEX('[1]Dettaglio pacchetti'!$AB$1:$AB$530, _xlfn.AGGREGATE(15, 6, (ROW($1:$345))/(ISNUMBER(SEARCH('[1]Dettaglio pacchetti'!$AB$1:$AB$530, $C107))), 1)) &amp; "*", '[1]Dettaglio pacchetti'!$A$1:$N$530, 13, FALSE) &amp; "", "")</f>
        <v/>
      </c>
      <c r="AB107" t="str" cm="1">
        <f t="array" ref="AB107">IF(ISNUMBER(SEARCH("dev.azure.com", AA107)), IFERROR(VLOOKUP(INDEX('[1]Dettaglio pacchetti'!$AB$1:$AB$530, _xlfn.AGGREGATE(15, 6, (ROW($1:$345))/(ISNUMBER(SEARCH('[1]Dettaglio pacchetti'!$AB$1:$AB$530, $C107))), 1)) &amp; "*", '[1]Dettaglio pacchetti'!$A$1:$N$530, 1, FALSE) &amp; "", ""), "")</f>
        <v/>
      </c>
      <c r="AC107" t="str" cm="1">
        <f t="array" ref="AC107">IFERROR(
    VLOOKUP(
        INDEX('[1]Dettaglio pacchetti'!$AB$1:$AB$530, _xlfn.AGGREGATE(15,6,ROW($1:$345)/(ISNUMBER(SEARCH('[1]Dettaglio pacchetti'!$AB$1:$AB$530,$C107))),1)) &amp; "*",
        '[1]Dettaglio pacchetti'!$A$1:$I$530,
        7,
        FALSE
    ),
    IFERROR(VLOOKUP($C107, '[1]Dettaglio pacchetti'!$A$1:$I$530, 7, FALSE), "")
)</f>
        <v/>
      </c>
      <c r="AD107" t="str" cm="1">
        <f t="array" ref="AD107">IFERROR(
    VLOOKUP(
        INDEX('[1]Dettaglio pacchetti'!$AB$1:$AB$530, _xlfn.AGGREGATE(15,6,ROW($1:$345)/(ISNUMBER(SEARCH('[1]Dettaglio pacchetti'!$AB$1:$AB$530,$C107))),1)) &amp; "*",
        '[1]Dettaglio pacchetti'!$A$1:$I$530,
        6,
        FALSE
    ),
    IFERROR(VLOOKUP($C107, '[1]Dettaglio pacchetti'!$A$1:$I$530, 6, FALSE), "")
)</f>
        <v/>
      </c>
    </row>
    <row r="108" spans="3:30" hidden="1" x14ac:dyDescent="0.3">
      <c r="C108" s="22"/>
      <c r="D108" s="20" t="str" cm="1">
        <f t="array" ref="D108">IFERROR(
    _xlfn.LET(
        _xlpm.risultato,
        IFERROR(
            _xlfn.XLOOKUP(TRIM(UPPER(G108)),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pacchetti'!$E$1:$E$530))=TRIM(UPPER(G108)),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108" s="14" t="str" cm="1">
        <f t="array" ref="E108">IF(TRIM($B108)="SG-ANAGRAFE", "Bugni Batte",
    IF(TRIM($B108)="DW01A", "Cauda",
        IFERROR(
            VLOOKUP(
                INDEX('[1]Dettaglio pacchetti'!$AB$1:$AB$530,
                    _xlfn.AGGREGATE(15, 6,
                        (ROW($1:$345))/(ISNUMBER(SEARCH('[1]Dettaglio pacchetti'!$AB$1:$AB$530, $C108))),
                        1)
                ) &amp; "*",
                '[1]Dettaglio pacchetti'!$A$1:$I$530,
                3,
                FALSE
            ),
            IFERROR(VLOOKUP($C108, '[1]Dettaglio pacchetti'!$A$1:$I$530, 3, FALSE), "")
        )
    )
)</f>
        <v/>
      </c>
      <c r="F108" s="14" t="str" cm="1">
        <f t="array" ref="F108">IF(TRIM($B108)="DW01A", "ETL - EDW Estrattori",
    IFERROR(
        VLOOKUP(
            INDEX('[1]Dettaglio pacchetti'!$AB$1:$AB$530,
                _xlfn.AGGREGATE(15, 6,
                    (ROW($1:$345))/(ISNUMBER(SEARCH('[1]Dettaglio pacchetti'!$AB$1:$AB$530, $C108))),
                    1)
            ) &amp; "*",
            '[1]Dettaglio pacchetti'!$A$1:$I$530,
            4,
            FALSE
        ),
        IFERROR(VLOOKUP($C108, '[1]Dettaglio pacchetti'!$A$1:$I$530, 4, FALSE), "")
    )
)</f>
        <v/>
      </c>
      <c r="G108" s="14" t="str" cm="1">
        <f t="array" ref="G108">IF(TRIM($B108)="DW01A", "ETL - EDW Estrattori",
    IF(TRIM($B108)="SG-ANAGRAFE", "SIGEA Anagrafe",
        IFERROR(
            VLOOKUP(
                INDEX('[1]Dettaglio pacchetti'!$AB$1:$AB$530,
                    _xlfn.AGGREGATE(15, 6,
                        (ROW($1:$345))/(ISNUMBER(SEARCH('[1]Dettaglio pacchetti'!$AB$1:$AB$530, $C108))),
                        1)
                ) &amp; "*",
                '[1]Dettaglio pacchetti'!$A$1:$I$530,
                5,
                FALSE
            ),
            IFERROR(VLOOKUP($C108, '[1]Dettaglio pacchetti'!$A$1:$I$530, 5, FALSE), "")
        )
    )
)</f>
        <v/>
      </c>
      <c r="H108" s="14" t="str" cm="1">
        <f t="array" ref="H108">IFERROR(
    VLOOKUP(
        INDEX('[1]Dettaglio pacchetti'!$AB$1:$AB$530,
            _xlfn.AGGREGATE(15, 6,
                (ROW($1:$345))/(ISNUMBER(SEARCH('[1]Dettaglio pacchetti'!$AB$1:$AB$530, $C108))),
                1)
        ) &amp; "*",
        '[1]Dettaglio pacchetti'!$A$1:$I$530,
        6,
        FALSE
    ),
    IFERROR(VLOOKUP($C108, '[1]Dettaglio pacchetti'!$A$1:$I$530, 6, FALSE), "")
)</f>
        <v/>
      </c>
      <c r="I108" s="7" t="str">
        <f t="shared" si="6"/>
        <v/>
      </c>
      <c r="J108" t="str">
        <f t="shared" si="7"/>
        <v/>
      </c>
      <c r="K108" t="str">
        <f t="shared" si="8"/>
        <v/>
      </c>
      <c r="L108" s="14" t="str" cm="1">
        <f t="array" ref="L108">IFERROR(
    VLOOKUP(
        INDEX('[1]Dettaglio pacchetti'!$AB$1:$AB$530,
            _xlfn.AGGREGATE(15, 6,
                ROW($1:$345)/(ISNUMBER(SEARCH('[1]Dettaglio pacchetti'!$AB$1:$AB$530, $C108))),
                1)
        ) &amp; "*",
        '[1]Dettaglio pacchetti'!$A$1:$I$530,
        8,
        FALSE
    ),
    IFERROR(VLOOKUP($C108, '[1]Dettaglio pacchetti'!$A$1:$I$530, 8, FALSE), "")
)</f>
        <v/>
      </c>
      <c r="M108" s="14" t="str" cm="1">
        <f t="array" ref="M108">IFERROR(
    VLOOKUP(
        INDEX('[1]Dettaglio pacchetti'!$AB$1:$AB$530,
            _xlfn.AGGREGATE(15, 6,
                ROW($1:$345)/(ISNUMBER(SEARCH('[1]Dettaglio pacchetti'!$AB$1:$AB$530, $C108))),
                1)
        ) &amp; "*",
        '[1]Dettaglio pacchetti'!$A$1:$I$530,
        9,
        FALSE
    ),
    IFERROR(VLOOKUP($C108, '[1]Dettaglio pacchetti'!$A$1:$I$530, 9, FALSE), "")
)</f>
        <v/>
      </c>
      <c r="N108" s="7"/>
      <c r="P108" s="6"/>
      <c r="AA108" t="str" cm="1">
        <f t="array" ref="AA108">IFERROR(VLOOKUP(INDEX('[1]Dettaglio pacchetti'!$AB$1:$AB$530, _xlfn.AGGREGATE(15, 6, (ROW($1:$345))/(ISNUMBER(SEARCH('[1]Dettaglio pacchetti'!$AB$1:$AB$530, $C108))), 1)) &amp; "*", '[1]Dettaglio pacchetti'!$A$1:$N$530, 13, FALSE) &amp; "", "")</f>
        <v/>
      </c>
      <c r="AB108" t="str" cm="1">
        <f t="array" ref="AB108">IF(ISNUMBER(SEARCH("dev.azure.com", AA108)), IFERROR(VLOOKUP(INDEX('[1]Dettaglio pacchetti'!$AB$1:$AB$530, _xlfn.AGGREGATE(15, 6, (ROW($1:$345))/(ISNUMBER(SEARCH('[1]Dettaglio pacchetti'!$AB$1:$AB$530, $C108))), 1)) &amp; "*", '[1]Dettaglio pacchetti'!$A$1:$N$530, 1, FALSE) &amp; "", ""), "")</f>
        <v/>
      </c>
      <c r="AC108" t="str" cm="1">
        <f t="array" ref="AC108">IFERROR(
    VLOOKUP(
        INDEX('[1]Dettaglio pacchetti'!$AB$1:$AB$530, _xlfn.AGGREGATE(15,6,ROW($1:$345)/(ISNUMBER(SEARCH('[1]Dettaglio pacchetti'!$AB$1:$AB$530,$C108))),1)) &amp; "*",
        '[1]Dettaglio pacchetti'!$A$1:$I$530,
        7,
        FALSE
    ),
    IFERROR(VLOOKUP($C108, '[1]Dettaglio pacchetti'!$A$1:$I$530, 7, FALSE), "")
)</f>
        <v/>
      </c>
      <c r="AD108" t="str" cm="1">
        <f t="array" ref="AD108">IFERROR(
    VLOOKUP(
        INDEX('[1]Dettaglio pacchetti'!$AB$1:$AB$530, _xlfn.AGGREGATE(15,6,ROW($1:$345)/(ISNUMBER(SEARCH('[1]Dettaglio pacchetti'!$AB$1:$AB$530,$C108))),1)) &amp; "*",
        '[1]Dettaglio pacchetti'!$A$1:$I$530,
        6,
        FALSE
    ),
    IFERROR(VLOOKUP($C108, '[1]Dettaglio pacchetti'!$A$1:$I$530, 6, FALSE), "")
)</f>
        <v/>
      </c>
    </row>
    <row r="109" spans="3:30" hidden="1" x14ac:dyDescent="0.3">
      <c r="C109" s="22"/>
      <c r="D109" s="20" t="str" cm="1">
        <f t="array" ref="D109">IFERROR(
    _xlfn.LET(
        _xlpm.risultato,
        IFERROR(
            _xlfn.XLOOKUP(TRIM(UPPER(G109)),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pacchetti'!$E$1:$E$530))=TRIM(UPPER(G109)),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109" s="14" t="str" cm="1">
        <f t="array" ref="E109">IF(TRIM($B109)="SG-ANAGRAFE", "Bugni Batte",
    IF(TRIM($B109)="DW01A", "Cauda",
        IFERROR(
            VLOOKUP(
                INDEX('[1]Dettaglio pacchetti'!$AB$1:$AB$530,
                    _xlfn.AGGREGATE(15, 6,
                        (ROW($1:$345))/(ISNUMBER(SEARCH('[1]Dettaglio pacchetti'!$AB$1:$AB$530, $C109))),
                        1)
                ) &amp; "*",
                '[1]Dettaglio pacchetti'!$A$1:$I$530,
                3,
                FALSE
            ),
            IFERROR(VLOOKUP($C109, '[1]Dettaglio pacchetti'!$A$1:$I$530, 3, FALSE), "")
        )
    )
)</f>
        <v/>
      </c>
      <c r="F109" s="14" t="str" cm="1">
        <f t="array" ref="F109">IF(TRIM($B109)="DW01A", "ETL - EDW Estrattori",
    IFERROR(
        VLOOKUP(
            INDEX('[1]Dettaglio pacchetti'!$AB$1:$AB$530,
                _xlfn.AGGREGATE(15, 6,
                    (ROW($1:$345))/(ISNUMBER(SEARCH('[1]Dettaglio pacchetti'!$AB$1:$AB$530, $C109))),
                    1)
            ) &amp; "*",
            '[1]Dettaglio pacchetti'!$A$1:$I$530,
            4,
            FALSE
        ),
        IFERROR(VLOOKUP($C109, '[1]Dettaglio pacchetti'!$A$1:$I$530, 4, FALSE), "")
    )
)</f>
        <v/>
      </c>
      <c r="G109" s="14" t="str" cm="1">
        <f t="array" ref="G109">IF(TRIM($B109)="DW01A", "ETL - EDW Estrattori",
    IF(TRIM($B109)="SG-ANAGRAFE", "SIGEA Anagrafe",
        IFERROR(
            VLOOKUP(
                INDEX('[1]Dettaglio pacchetti'!$AB$1:$AB$530,
                    _xlfn.AGGREGATE(15, 6,
                        (ROW($1:$345))/(ISNUMBER(SEARCH('[1]Dettaglio pacchetti'!$AB$1:$AB$530, $C109))),
                        1)
                ) &amp; "*",
                '[1]Dettaglio pacchetti'!$A$1:$I$530,
                5,
                FALSE
            ),
            IFERROR(VLOOKUP($C109, '[1]Dettaglio pacchetti'!$A$1:$I$530, 5, FALSE), "")
        )
    )
)</f>
        <v/>
      </c>
      <c r="H109" s="14" t="str" cm="1">
        <f t="array" ref="H109">IFERROR(
    VLOOKUP(
        INDEX('[1]Dettaglio pacchetti'!$AB$1:$AB$530,
            _xlfn.AGGREGATE(15, 6,
                (ROW($1:$345))/(ISNUMBER(SEARCH('[1]Dettaglio pacchetti'!$AB$1:$AB$530, $C109))),
                1)
        ) &amp; "*",
        '[1]Dettaglio pacchetti'!$A$1:$I$530,
        6,
        FALSE
    ),
    IFERROR(VLOOKUP($C109, '[1]Dettaglio pacchetti'!$A$1:$I$530, 6, FALSE), "")
)</f>
        <v/>
      </c>
      <c r="I109" s="7" t="str">
        <f t="shared" si="6"/>
        <v/>
      </c>
      <c r="J109" t="str">
        <f t="shared" si="7"/>
        <v/>
      </c>
      <c r="K109" t="str">
        <f t="shared" si="8"/>
        <v/>
      </c>
      <c r="L109" s="14" t="str" cm="1">
        <f t="array" ref="L109">IFERROR(
    VLOOKUP(
        INDEX('[1]Dettaglio pacchetti'!$AB$1:$AB$530,
            _xlfn.AGGREGATE(15, 6,
                ROW($1:$345)/(ISNUMBER(SEARCH('[1]Dettaglio pacchetti'!$AB$1:$AB$530, $C109))),
                1)
        ) &amp; "*",
        '[1]Dettaglio pacchetti'!$A$1:$I$530,
        8,
        FALSE
    ),
    IFERROR(VLOOKUP($C109, '[1]Dettaglio pacchetti'!$A$1:$I$530, 8, FALSE), "")
)</f>
        <v/>
      </c>
      <c r="M109" s="14" t="str" cm="1">
        <f t="array" ref="M109">IFERROR(
    VLOOKUP(
        INDEX('[1]Dettaglio pacchetti'!$AB$1:$AB$530,
            _xlfn.AGGREGATE(15, 6,
                ROW($1:$345)/(ISNUMBER(SEARCH('[1]Dettaglio pacchetti'!$AB$1:$AB$530, $C109))),
                1)
        ) &amp; "*",
        '[1]Dettaglio pacchetti'!$A$1:$I$530,
        9,
        FALSE
    ),
    IFERROR(VLOOKUP($C109, '[1]Dettaglio pacchetti'!$A$1:$I$530, 9, FALSE), "")
)</f>
        <v/>
      </c>
      <c r="N109" s="7"/>
      <c r="P109" s="6"/>
      <c r="AA109" t="str" cm="1">
        <f t="array" ref="AA109">IFERROR(VLOOKUP(INDEX('[1]Dettaglio pacchetti'!$AB$1:$AB$530, _xlfn.AGGREGATE(15, 6, (ROW($1:$345))/(ISNUMBER(SEARCH('[1]Dettaglio pacchetti'!$AB$1:$AB$530, $C109))), 1)) &amp; "*", '[1]Dettaglio pacchetti'!$A$1:$N$530, 13, FALSE) &amp; "", "")</f>
        <v/>
      </c>
      <c r="AB109" t="str" cm="1">
        <f t="array" ref="AB109">IF(ISNUMBER(SEARCH("dev.azure.com", AA109)), IFERROR(VLOOKUP(INDEX('[1]Dettaglio pacchetti'!$AB$1:$AB$530, _xlfn.AGGREGATE(15, 6, (ROW($1:$345))/(ISNUMBER(SEARCH('[1]Dettaglio pacchetti'!$AB$1:$AB$530, $C109))), 1)) &amp; "*", '[1]Dettaglio pacchetti'!$A$1:$N$530, 1, FALSE) &amp; "", ""), "")</f>
        <v/>
      </c>
      <c r="AC109" t="str" cm="1">
        <f t="array" ref="AC109">IFERROR(
    VLOOKUP(
        INDEX('[1]Dettaglio pacchetti'!$AB$1:$AB$530, _xlfn.AGGREGATE(15,6,ROW($1:$345)/(ISNUMBER(SEARCH('[1]Dettaglio pacchetti'!$AB$1:$AB$530,$C109))),1)) &amp; "*",
        '[1]Dettaglio pacchetti'!$A$1:$I$530,
        7,
        FALSE
    ),
    IFERROR(VLOOKUP($C109, '[1]Dettaglio pacchetti'!$A$1:$I$530, 7, FALSE), "")
)</f>
        <v/>
      </c>
      <c r="AD109" t="str" cm="1">
        <f t="array" ref="AD109">IFERROR(
    VLOOKUP(
        INDEX('[1]Dettaglio pacchetti'!$AB$1:$AB$530, _xlfn.AGGREGATE(15,6,ROW($1:$345)/(ISNUMBER(SEARCH('[1]Dettaglio pacchetti'!$AB$1:$AB$530,$C109))),1)) &amp; "*",
        '[1]Dettaglio pacchetti'!$A$1:$I$530,
        6,
        FALSE
    ),
    IFERROR(VLOOKUP($C109, '[1]Dettaglio pacchetti'!$A$1:$I$530, 6, FALSE), "")
)</f>
        <v/>
      </c>
    </row>
    <row r="110" spans="3:30" hidden="1" x14ac:dyDescent="0.3">
      <c r="C110" s="22"/>
      <c r="D110" s="20" t="str" cm="1">
        <f t="array" ref="D110">IFERROR(
    _xlfn.LET(
        _xlpm.risultato,
        IFERROR(
            _xlfn.XLOOKUP(TRIM(UPPER(G110)),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pacchetti'!$E$1:$E$530))=TRIM(UPPER(G110)),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110" s="14" t="str" cm="1">
        <f t="array" ref="E110">IF(TRIM($B110)="SG-ANAGRAFE", "Bugni Batte",
    IF(TRIM($B110)="DW01A", "Cauda",
        IFERROR(
            VLOOKUP(
                INDEX('[1]Dettaglio pacchetti'!$AB$1:$AB$530,
                    _xlfn.AGGREGATE(15, 6,
                        (ROW($1:$345))/(ISNUMBER(SEARCH('[1]Dettaglio pacchetti'!$AB$1:$AB$530, $C110))),
                        1)
                ) &amp; "*",
                '[1]Dettaglio pacchetti'!$A$1:$I$530,
                3,
                FALSE
            ),
            IFERROR(VLOOKUP($C110, '[1]Dettaglio pacchetti'!$A$1:$I$530, 3, FALSE), "")
        )
    )
)</f>
        <v/>
      </c>
      <c r="F110" s="14" t="str" cm="1">
        <f t="array" ref="F110">IF(TRIM($B110)="DW01A", "ETL - EDW Estrattori",
    IFERROR(
        VLOOKUP(
            INDEX('[1]Dettaglio pacchetti'!$AB$1:$AB$530,
                _xlfn.AGGREGATE(15, 6,
                    (ROW($1:$345))/(ISNUMBER(SEARCH('[1]Dettaglio pacchetti'!$AB$1:$AB$530, $C110))),
                    1)
            ) &amp; "*",
            '[1]Dettaglio pacchetti'!$A$1:$I$530,
            4,
            FALSE
        ),
        IFERROR(VLOOKUP($C110, '[1]Dettaglio pacchetti'!$A$1:$I$530, 4, FALSE), "")
    )
)</f>
        <v/>
      </c>
      <c r="G110" s="14" t="str" cm="1">
        <f t="array" ref="G110">IF(TRIM($B110)="DW01A", "ETL - EDW Estrattori",
    IF(TRIM($B110)="SG-ANAGRAFE", "SIGEA Anagrafe",
        IFERROR(
            VLOOKUP(
                INDEX('[1]Dettaglio pacchetti'!$AB$1:$AB$530,
                    _xlfn.AGGREGATE(15, 6,
                        (ROW($1:$345))/(ISNUMBER(SEARCH('[1]Dettaglio pacchetti'!$AB$1:$AB$530, $C110))),
                        1)
                ) &amp; "*",
                '[1]Dettaglio pacchetti'!$A$1:$I$530,
                5,
                FALSE
            ),
            IFERROR(VLOOKUP($C110, '[1]Dettaglio pacchetti'!$A$1:$I$530, 5, FALSE), "")
        )
    )
)</f>
        <v/>
      </c>
      <c r="H110" s="14" t="str" cm="1">
        <f t="array" ref="H110">IFERROR(
    VLOOKUP(
        INDEX('[1]Dettaglio pacchetti'!$AB$1:$AB$530,
            _xlfn.AGGREGATE(15, 6,
                (ROW($1:$345))/(ISNUMBER(SEARCH('[1]Dettaglio pacchetti'!$AB$1:$AB$530, $C110))),
                1)
        ) &amp; "*",
        '[1]Dettaglio pacchetti'!$A$1:$I$530,
        6,
        FALSE
    ),
    IFERROR(VLOOKUP($C110, '[1]Dettaglio pacchetti'!$A$1:$I$530, 6, FALSE), "")
)</f>
        <v/>
      </c>
      <c r="I110" s="7" t="str">
        <f t="shared" si="6"/>
        <v/>
      </c>
      <c r="J110" t="str">
        <f t="shared" si="7"/>
        <v/>
      </c>
      <c r="K110" t="str">
        <f t="shared" si="8"/>
        <v/>
      </c>
      <c r="L110" s="14" t="str" cm="1">
        <f t="array" ref="L110">IFERROR(
    VLOOKUP(
        INDEX('[1]Dettaglio pacchetti'!$AB$1:$AB$530,
            _xlfn.AGGREGATE(15, 6,
                ROW($1:$345)/(ISNUMBER(SEARCH('[1]Dettaglio pacchetti'!$AB$1:$AB$530, $C110))),
                1)
        ) &amp; "*",
        '[1]Dettaglio pacchetti'!$A$1:$I$530,
        8,
        FALSE
    ),
    IFERROR(VLOOKUP($C110, '[1]Dettaglio pacchetti'!$A$1:$I$530, 8, FALSE), "")
)</f>
        <v/>
      </c>
      <c r="M110" s="14" t="str" cm="1">
        <f t="array" ref="M110">IFERROR(
    VLOOKUP(
        INDEX('[1]Dettaglio pacchetti'!$AB$1:$AB$530,
            _xlfn.AGGREGATE(15, 6,
                ROW($1:$345)/(ISNUMBER(SEARCH('[1]Dettaglio pacchetti'!$AB$1:$AB$530, $C110))),
                1)
        ) &amp; "*",
        '[1]Dettaglio pacchetti'!$A$1:$I$530,
        9,
        FALSE
    ),
    IFERROR(VLOOKUP($C110, '[1]Dettaglio pacchetti'!$A$1:$I$530, 9, FALSE), "")
)</f>
        <v/>
      </c>
      <c r="N110" s="7"/>
      <c r="P110" s="6"/>
      <c r="AA110" t="str" cm="1">
        <f t="array" ref="AA110">IFERROR(VLOOKUP(INDEX('[1]Dettaglio pacchetti'!$AB$1:$AB$530, _xlfn.AGGREGATE(15, 6, (ROW($1:$345))/(ISNUMBER(SEARCH('[1]Dettaglio pacchetti'!$AB$1:$AB$530, $C110))), 1)) &amp; "*", '[1]Dettaglio pacchetti'!$A$1:$N$530, 13, FALSE) &amp; "", "")</f>
        <v/>
      </c>
      <c r="AB110" t="str" cm="1">
        <f t="array" ref="AB110">IF(ISNUMBER(SEARCH("dev.azure.com", AA110)), IFERROR(VLOOKUP(INDEX('[1]Dettaglio pacchetti'!$AB$1:$AB$530, _xlfn.AGGREGATE(15, 6, (ROW($1:$345))/(ISNUMBER(SEARCH('[1]Dettaglio pacchetti'!$AB$1:$AB$530, $C110))), 1)) &amp; "*", '[1]Dettaglio pacchetti'!$A$1:$N$530, 1, FALSE) &amp; "", ""), "")</f>
        <v/>
      </c>
      <c r="AC110" t="str" cm="1">
        <f t="array" ref="AC110">IFERROR(
    VLOOKUP(
        INDEX('[1]Dettaglio pacchetti'!$AB$1:$AB$530, _xlfn.AGGREGATE(15,6,ROW($1:$345)/(ISNUMBER(SEARCH('[1]Dettaglio pacchetti'!$AB$1:$AB$530,$C110))),1)) &amp; "*",
        '[1]Dettaglio pacchetti'!$A$1:$I$530,
        7,
        FALSE
    ),
    IFERROR(VLOOKUP($C110, '[1]Dettaglio pacchetti'!$A$1:$I$530, 7, FALSE), "")
)</f>
        <v/>
      </c>
      <c r="AD110" t="str" cm="1">
        <f t="array" ref="AD110">IFERROR(
    VLOOKUP(
        INDEX('[1]Dettaglio pacchetti'!$AB$1:$AB$530, _xlfn.AGGREGATE(15,6,ROW($1:$345)/(ISNUMBER(SEARCH('[1]Dettaglio pacchetti'!$AB$1:$AB$530,$C110))),1)) &amp; "*",
        '[1]Dettaglio pacchetti'!$A$1:$I$530,
        6,
        FALSE
    ),
    IFERROR(VLOOKUP($C110, '[1]Dettaglio pacchetti'!$A$1:$I$530, 6, FALSE), "")
)</f>
        <v/>
      </c>
    </row>
    <row r="111" spans="3:30" hidden="1" x14ac:dyDescent="0.3">
      <c r="C111" s="22"/>
      <c r="D111" s="20" t="str" cm="1">
        <f t="array" ref="D111">IFERROR(
    _xlfn.LET(
        _xlpm.risultato,
        IFERROR(
            _xlfn.XLOOKUP(TRIM(UPPER(G111)),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pacchetti'!$E$1:$E$530))=TRIM(UPPER(G111)),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111" s="14" t="str" cm="1">
        <f t="array" ref="E111">IF(TRIM($B111)="SG-ANAGRAFE", "Bugni Batte",
    IF(TRIM($B111)="DW01A", "Cauda",
        IFERROR(
            VLOOKUP(
                INDEX('[1]Dettaglio pacchetti'!$AB$1:$AB$530,
                    _xlfn.AGGREGATE(15, 6,
                        (ROW($1:$345))/(ISNUMBER(SEARCH('[1]Dettaglio pacchetti'!$AB$1:$AB$530, $C111))),
                        1)
                ) &amp; "*",
                '[1]Dettaglio pacchetti'!$A$1:$I$530,
                3,
                FALSE
            ),
            IFERROR(VLOOKUP($C111, '[1]Dettaglio pacchetti'!$A$1:$I$530, 3, FALSE), "")
        )
    )
)</f>
        <v/>
      </c>
      <c r="F111" s="14" t="str" cm="1">
        <f t="array" ref="F111">IF(TRIM($B111)="DW01A", "ETL - EDW Estrattori",
    IFERROR(
        VLOOKUP(
            INDEX('[1]Dettaglio pacchetti'!$AB$1:$AB$530,
                _xlfn.AGGREGATE(15, 6,
                    (ROW($1:$345))/(ISNUMBER(SEARCH('[1]Dettaglio pacchetti'!$AB$1:$AB$530, $C111))),
                    1)
            ) &amp; "*",
            '[1]Dettaglio pacchetti'!$A$1:$I$530,
            4,
            FALSE
        ),
        IFERROR(VLOOKUP($C111, '[1]Dettaglio pacchetti'!$A$1:$I$530, 4, FALSE), "")
    )
)</f>
        <v/>
      </c>
      <c r="G111" s="14" t="str" cm="1">
        <f t="array" ref="G111">IF(TRIM($B111)="DW01A", "ETL - EDW Estrattori",
    IF(TRIM($B111)="SG-ANAGRAFE", "SIGEA Anagrafe",
        IFERROR(
            VLOOKUP(
                INDEX('[1]Dettaglio pacchetti'!$AB$1:$AB$530,
                    _xlfn.AGGREGATE(15, 6,
                        (ROW($1:$345))/(ISNUMBER(SEARCH('[1]Dettaglio pacchetti'!$AB$1:$AB$530, $C111))),
                        1)
                ) &amp; "*",
                '[1]Dettaglio pacchetti'!$A$1:$I$530,
                5,
                FALSE
            ),
            IFERROR(VLOOKUP($C111, '[1]Dettaglio pacchetti'!$A$1:$I$530, 5, FALSE), "")
        )
    )
)</f>
        <v/>
      </c>
      <c r="H111" s="14" t="str" cm="1">
        <f t="array" ref="H111">IFERROR(
    VLOOKUP(
        INDEX('[1]Dettaglio pacchetti'!$AB$1:$AB$530,
            _xlfn.AGGREGATE(15, 6,
                (ROW($1:$345))/(ISNUMBER(SEARCH('[1]Dettaglio pacchetti'!$AB$1:$AB$530, $C111))),
                1)
        ) &amp; "*",
        '[1]Dettaglio pacchetti'!$A$1:$I$530,
        6,
        FALSE
    ),
    IFERROR(VLOOKUP($C111, '[1]Dettaglio pacchetti'!$A$1:$I$530, 6, FALSE), "")
)</f>
        <v/>
      </c>
      <c r="I111" s="7" t="str">
        <f t="shared" si="6"/>
        <v/>
      </c>
      <c r="J111" t="str">
        <f t="shared" si="7"/>
        <v/>
      </c>
      <c r="K111" t="str">
        <f t="shared" si="8"/>
        <v/>
      </c>
      <c r="L111" s="14" t="str" cm="1">
        <f t="array" ref="L111">IFERROR(
    VLOOKUP(
        INDEX('[1]Dettaglio pacchetti'!$AB$1:$AB$530,
            _xlfn.AGGREGATE(15, 6,
                ROW($1:$345)/(ISNUMBER(SEARCH('[1]Dettaglio pacchetti'!$AB$1:$AB$530, $C111))),
                1)
        ) &amp; "*",
        '[1]Dettaglio pacchetti'!$A$1:$I$530,
        8,
        FALSE
    ),
    IFERROR(VLOOKUP($C111, '[1]Dettaglio pacchetti'!$A$1:$I$530, 8, FALSE), "")
)</f>
        <v/>
      </c>
      <c r="M111" s="14" t="str" cm="1">
        <f t="array" ref="M111">IFERROR(
    VLOOKUP(
        INDEX('[1]Dettaglio pacchetti'!$AB$1:$AB$530,
            _xlfn.AGGREGATE(15, 6,
                ROW($1:$345)/(ISNUMBER(SEARCH('[1]Dettaglio pacchetti'!$AB$1:$AB$530, $C111))),
                1)
        ) &amp; "*",
        '[1]Dettaglio pacchetti'!$A$1:$I$530,
        9,
        FALSE
    ),
    IFERROR(VLOOKUP($C111, '[1]Dettaglio pacchetti'!$A$1:$I$530, 9, FALSE), "")
)</f>
        <v/>
      </c>
      <c r="N111" s="7"/>
      <c r="P111" s="6"/>
      <c r="AA111" t="str" cm="1">
        <f t="array" ref="AA111">IFERROR(VLOOKUP(INDEX('[1]Dettaglio pacchetti'!$AB$1:$AB$530, _xlfn.AGGREGATE(15, 6, (ROW($1:$345))/(ISNUMBER(SEARCH('[1]Dettaglio pacchetti'!$AB$1:$AB$530, $C111))), 1)) &amp; "*", '[1]Dettaglio pacchetti'!$A$1:$N$530, 13, FALSE) &amp; "", "")</f>
        <v/>
      </c>
      <c r="AB111" t="str" cm="1">
        <f t="array" ref="AB111">IF(ISNUMBER(SEARCH("dev.azure.com", AA111)), IFERROR(VLOOKUP(INDEX('[1]Dettaglio pacchetti'!$AB$1:$AB$530, _xlfn.AGGREGATE(15, 6, (ROW($1:$345))/(ISNUMBER(SEARCH('[1]Dettaglio pacchetti'!$AB$1:$AB$530, $C111))), 1)) &amp; "*", '[1]Dettaglio pacchetti'!$A$1:$N$530, 1, FALSE) &amp; "", ""), "")</f>
        <v/>
      </c>
      <c r="AC111" t="str" cm="1">
        <f t="array" ref="AC111">IFERROR(
    VLOOKUP(
        INDEX('[1]Dettaglio pacchetti'!$AB$1:$AB$530, _xlfn.AGGREGATE(15,6,ROW($1:$345)/(ISNUMBER(SEARCH('[1]Dettaglio pacchetti'!$AB$1:$AB$530,$C111))),1)) &amp; "*",
        '[1]Dettaglio pacchetti'!$A$1:$I$530,
        7,
        FALSE
    ),
    IFERROR(VLOOKUP($C111, '[1]Dettaglio pacchetti'!$A$1:$I$530, 7, FALSE), "")
)</f>
        <v/>
      </c>
      <c r="AD111" t="str" cm="1">
        <f t="array" ref="AD111">IFERROR(
    VLOOKUP(
        INDEX('[1]Dettaglio pacchetti'!$AB$1:$AB$530, _xlfn.AGGREGATE(15,6,ROW($1:$345)/(ISNUMBER(SEARCH('[1]Dettaglio pacchetti'!$AB$1:$AB$530,$C111))),1)) &amp; "*",
        '[1]Dettaglio pacchetti'!$A$1:$I$530,
        6,
        FALSE
    ),
    IFERROR(VLOOKUP($C111, '[1]Dettaglio pacchetti'!$A$1:$I$530, 6, FALSE), "")
)</f>
        <v/>
      </c>
    </row>
    <row r="112" spans="3:30" hidden="1" x14ac:dyDescent="0.3">
      <c r="C112" s="22"/>
      <c r="D112" s="20" t="str" cm="1">
        <f t="array" ref="D112">IFERROR(
    _xlfn.LET(
        _xlpm.risultato,
        IFERROR(
            _xlfn.XLOOKUP(TRIM(UPPER(G112)),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pacchetti'!$E$1:$E$530))=TRIM(UPPER(G112)),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112" s="14" t="str" cm="1">
        <f t="array" ref="E112">IF(TRIM($B112)="SG-ANAGRAFE", "Bugni Batte",
    IF(TRIM($B112)="DW01A", "Cauda",
        IFERROR(
            VLOOKUP(
                INDEX('[1]Dettaglio pacchetti'!$AB$1:$AB$530,
                    _xlfn.AGGREGATE(15, 6,
                        (ROW($1:$345))/(ISNUMBER(SEARCH('[1]Dettaglio pacchetti'!$AB$1:$AB$530, $C112))),
                        1)
                ) &amp; "*",
                '[1]Dettaglio pacchetti'!$A$1:$I$530,
                3,
                FALSE
            ),
            IFERROR(VLOOKUP($C112, '[1]Dettaglio pacchetti'!$A$1:$I$530, 3, FALSE), "")
        )
    )
)</f>
        <v/>
      </c>
      <c r="F112" s="14" t="str" cm="1">
        <f t="array" ref="F112">IF(TRIM($B112)="DW01A", "ETL - EDW Estrattori",
    IFERROR(
        VLOOKUP(
            INDEX('[1]Dettaglio pacchetti'!$AB$1:$AB$530,
                _xlfn.AGGREGATE(15, 6,
                    (ROW($1:$345))/(ISNUMBER(SEARCH('[1]Dettaglio pacchetti'!$AB$1:$AB$530, $C112))),
                    1)
            ) &amp; "*",
            '[1]Dettaglio pacchetti'!$A$1:$I$530,
            4,
            FALSE
        ),
        IFERROR(VLOOKUP($C112, '[1]Dettaglio pacchetti'!$A$1:$I$530, 4, FALSE), "")
    )
)</f>
        <v/>
      </c>
      <c r="G112" s="14" t="str" cm="1">
        <f t="array" ref="G112">IF(TRIM($B112)="DW01A", "ETL - EDW Estrattori",
    IF(TRIM($B112)="SG-ANAGRAFE", "SIGEA Anagrafe",
        IFERROR(
            VLOOKUP(
                INDEX('[1]Dettaglio pacchetti'!$AB$1:$AB$530,
                    _xlfn.AGGREGATE(15, 6,
                        (ROW($1:$345))/(ISNUMBER(SEARCH('[1]Dettaglio pacchetti'!$AB$1:$AB$530, $C112))),
                        1)
                ) &amp; "*",
                '[1]Dettaglio pacchetti'!$A$1:$I$530,
                5,
                FALSE
            ),
            IFERROR(VLOOKUP($C112, '[1]Dettaglio pacchetti'!$A$1:$I$530, 5, FALSE), "")
        )
    )
)</f>
        <v/>
      </c>
      <c r="H112" s="14" t="str" cm="1">
        <f t="array" ref="H112">IFERROR(
    VLOOKUP(
        INDEX('[1]Dettaglio pacchetti'!$AB$1:$AB$530,
            _xlfn.AGGREGATE(15, 6,
                (ROW($1:$345))/(ISNUMBER(SEARCH('[1]Dettaglio pacchetti'!$AB$1:$AB$530, $C112))),
                1)
        ) &amp; "*",
        '[1]Dettaglio pacchetti'!$A$1:$I$530,
        6,
        FALSE
    ),
    IFERROR(VLOOKUP($C112, '[1]Dettaglio pacchetti'!$A$1:$I$530, 6, FALSE), "")
)</f>
        <v/>
      </c>
      <c r="I112" s="7" t="str">
        <f t="shared" si="6"/>
        <v/>
      </c>
      <c r="J112" t="str">
        <f t="shared" si="7"/>
        <v/>
      </c>
      <c r="K112" t="str">
        <f t="shared" si="8"/>
        <v/>
      </c>
      <c r="L112" s="14" t="str" cm="1">
        <f t="array" ref="L112">IFERROR(
    VLOOKUP(
        INDEX('[1]Dettaglio pacchetti'!$AB$1:$AB$530,
            _xlfn.AGGREGATE(15, 6,
                ROW($1:$345)/(ISNUMBER(SEARCH('[1]Dettaglio pacchetti'!$AB$1:$AB$530, $C112))),
                1)
        ) &amp; "*",
        '[1]Dettaglio pacchetti'!$A$1:$I$530,
        8,
        FALSE
    ),
    IFERROR(VLOOKUP($C112, '[1]Dettaglio pacchetti'!$A$1:$I$530, 8, FALSE), "")
)</f>
        <v/>
      </c>
      <c r="M112" s="14" t="str" cm="1">
        <f t="array" ref="M112">IFERROR(
    VLOOKUP(
        INDEX('[1]Dettaglio pacchetti'!$AB$1:$AB$530,
            _xlfn.AGGREGATE(15, 6,
                ROW($1:$345)/(ISNUMBER(SEARCH('[1]Dettaglio pacchetti'!$AB$1:$AB$530, $C112))),
                1)
        ) &amp; "*",
        '[1]Dettaglio pacchetti'!$A$1:$I$530,
        9,
        FALSE
    ),
    IFERROR(VLOOKUP($C112, '[1]Dettaglio pacchetti'!$A$1:$I$530, 9, FALSE), "")
)</f>
        <v/>
      </c>
      <c r="N112" s="7"/>
      <c r="P112" s="6"/>
      <c r="AA112" t="str" cm="1">
        <f t="array" ref="AA112">IFERROR(VLOOKUP(INDEX('[1]Dettaglio pacchetti'!$AB$1:$AB$530, _xlfn.AGGREGATE(15, 6, (ROW($1:$345))/(ISNUMBER(SEARCH('[1]Dettaglio pacchetti'!$AB$1:$AB$530, $C112))), 1)) &amp; "*", '[1]Dettaglio pacchetti'!$A$1:$N$530, 13, FALSE) &amp; "", "")</f>
        <v/>
      </c>
      <c r="AB112" t="str" cm="1">
        <f t="array" ref="AB112">IF(ISNUMBER(SEARCH("dev.azure.com", AA112)), IFERROR(VLOOKUP(INDEX('[1]Dettaglio pacchetti'!$AB$1:$AB$530, _xlfn.AGGREGATE(15, 6, (ROW($1:$345))/(ISNUMBER(SEARCH('[1]Dettaglio pacchetti'!$AB$1:$AB$530, $C112))), 1)) &amp; "*", '[1]Dettaglio pacchetti'!$A$1:$N$530, 1, FALSE) &amp; "", ""), "")</f>
        <v/>
      </c>
      <c r="AC112" t="str" cm="1">
        <f t="array" ref="AC112">IFERROR(
    VLOOKUP(
        INDEX('[1]Dettaglio pacchetti'!$AB$1:$AB$530, _xlfn.AGGREGATE(15,6,ROW($1:$345)/(ISNUMBER(SEARCH('[1]Dettaglio pacchetti'!$AB$1:$AB$530,$C112))),1)) &amp; "*",
        '[1]Dettaglio pacchetti'!$A$1:$I$530,
        7,
        FALSE
    ),
    IFERROR(VLOOKUP($C112, '[1]Dettaglio pacchetti'!$A$1:$I$530, 7, FALSE), "")
)</f>
        <v/>
      </c>
      <c r="AD112" t="str" cm="1">
        <f t="array" ref="AD112">IFERROR(
    VLOOKUP(
        INDEX('[1]Dettaglio pacchetti'!$AB$1:$AB$530, _xlfn.AGGREGATE(15,6,ROW($1:$345)/(ISNUMBER(SEARCH('[1]Dettaglio pacchetti'!$AB$1:$AB$530,$C112))),1)) &amp; "*",
        '[1]Dettaglio pacchetti'!$A$1:$I$530,
        6,
        FALSE
    ),
    IFERROR(VLOOKUP($C112, '[1]Dettaglio pacchetti'!$A$1:$I$530, 6, FALSE), "")
)</f>
        <v/>
      </c>
    </row>
    <row r="113" spans="3:30" hidden="1" x14ac:dyDescent="0.3">
      <c r="C113" s="22"/>
      <c r="D113" s="20" t="str" cm="1">
        <f t="array" ref="D113">IFERROR(
    _xlfn.LET(
        _xlpm.risultato,
        IFERROR(
            _xlfn.XLOOKUP(TRIM(UPPER(G113)),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pacchetti'!$E$1:$E$530))=TRIM(UPPER(G113)),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113" s="14" t="str" cm="1">
        <f t="array" ref="E113">IF(TRIM($B113)="SG-ANAGRAFE", "Bugni Batte",
    IF(TRIM($B113)="DW01A", "Cauda",
        IFERROR(
            VLOOKUP(
                INDEX('[1]Dettaglio pacchetti'!$AB$1:$AB$530,
                    _xlfn.AGGREGATE(15, 6,
                        (ROW($1:$345))/(ISNUMBER(SEARCH('[1]Dettaglio pacchetti'!$AB$1:$AB$530, $C113))),
                        1)
                ) &amp; "*",
                '[1]Dettaglio pacchetti'!$A$1:$I$530,
                3,
                FALSE
            ),
            IFERROR(VLOOKUP($C113, '[1]Dettaglio pacchetti'!$A$1:$I$530, 3, FALSE), "")
        )
    )
)</f>
        <v/>
      </c>
      <c r="F113" s="14" t="str" cm="1">
        <f t="array" ref="F113">IF(TRIM($B113)="DW01A", "ETL - EDW Estrattori",
    IFERROR(
        VLOOKUP(
            INDEX('[1]Dettaglio pacchetti'!$AB$1:$AB$530,
                _xlfn.AGGREGATE(15, 6,
                    (ROW($1:$345))/(ISNUMBER(SEARCH('[1]Dettaglio pacchetti'!$AB$1:$AB$530, $C113))),
                    1)
            ) &amp; "*",
            '[1]Dettaglio pacchetti'!$A$1:$I$530,
            4,
            FALSE
        ),
        IFERROR(VLOOKUP($C113, '[1]Dettaglio pacchetti'!$A$1:$I$530, 4, FALSE), "")
    )
)</f>
        <v/>
      </c>
      <c r="G113" s="14" t="str" cm="1">
        <f t="array" ref="G113">IF(TRIM($B113)="DW01A", "ETL - EDW Estrattori",
    IF(TRIM($B113)="SG-ANAGRAFE", "SIGEA Anagrafe",
        IFERROR(
            VLOOKUP(
                INDEX('[1]Dettaglio pacchetti'!$AB$1:$AB$530,
                    _xlfn.AGGREGATE(15, 6,
                        (ROW($1:$345))/(ISNUMBER(SEARCH('[1]Dettaglio pacchetti'!$AB$1:$AB$530, $C113))),
                        1)
                ) &amp; "*",
                '[1]Dettaglio pacchetti'!$A$1:$I$530,
                5,
                FALSE
            ),
            IFERROR(VLOOKUP($C113, '[1]Dettaglio pacchetti'!$A$1:$I$530, 5, FALSE), "")
        )
    )
)</f>
        <v/>
      </c>
      <c r="H113" s="14" t="str" cm="1">
        <f t="array" ref="H113">IFERROR(
    VLOOKUP(
        INDEX('[1]Dettaglio pacchetti'!$AB$1:$AB$530,
            _xlfn.AGGREGATE(15, 6,
                (ROW($1:$345))/(ISNUMBER(SEARCH('[1]Dettaglio pacchetti'!$AB$1:$AB$530, $C113))),
                1)
        ) &amp; "*",
        '[1]Dettaglio pacchetti'!$A$1:$I$530,
        6,
        FALSE
    ),
    IFERROR(VLOOKUP($C113, '[1]Dettaglio pacchetti'!$A$1:$I$530, 6, FALSE), "")
)</f>
        <v/>
      </c>
      <c r="I113" s="7" t="str">
        <f t="shared" si="6"/>
        <v/>
      </c>
      <c r="J113" t="str">
        <f t="shared" si="7"/>
        <v/>
      </c>
      <c r="K113" t="str">
        <f t="shared" si="8"/>
        <v/>
      </c>
      <c r="L113" s="14" t="str" cm="1">
        <f t="array" ref="L113">IFERROR(
    VLOOKUP(
        INDEX('[1]Dettaglio pacchetti'!$AB$1:$AB$530,
            _xlfn.AGGREGATE(15, 6,
                ROW($1:$345)/(ISNUMBER(SEARCH('[1]Dettaglio pacchetti'!$AB$1:$AB$530, $C113))),
                1)
        ) &amp; "*",
        '[1]Dettaglio pacchetti'!$A$1:$I$530,
        8,
        FALSE
    ),
    IFERROR(VLOOKUP($C113, '[1]Dettaglio pacchetti'!$A$1:$I$530, 8, FALSE), "")
)</f>
        <v/>
      </c>
      <c r="M113" s="14" t="str" cm="1">
        <f t="array" ref="M113">IFERROR(
    VLOOKUP(
        INDEX('[1]Dettaglio pacchetti'!$AB$1:$AB$530,
            _xlfn.AGGREGATE(15, 6,
                ROW($1:$345)/(ISNUMBER(SEARCH('[1]Dettaglio pacchetti'!$AB$1:$AB$530, $C113))),
                1)
        ) &amp; "*",
        '[1]Dettaglio pacchetti'!$A$1:$I$530,
        9,
        FALSE
    ),
    IFERROR(VLOOKUP($C113, '[1]Dettaglio pacchetti'!$A$1:$I$530, 9, FALSE), "")
)</f>
        <v/>
      </c>
      <c r="N113" s="7"/>
      <c r="P113" s="6"/>
      <c r="AA113" t="str" cm="1">
        <f t="array" ref="AA113">IFERROR(VLOOKUP(INDEX('[1]Dettaglio pacchetti'!$AB$1:$AB$530, _xlfn.AGGREGATE(15, 6, (ROW($1:$345))/(ISNUMBER(SEARCH('[1]Dettaglio pacchetti'!$AB$1:$AB$530, $C113))), 1)) &amp; "*", '[1]Dettaglio pacchetti'!$A$1:$N$530, 13, FALSE) &amp; "", "")</f>
        <v/>
      </c>
      <c r="AB113" t="str" cm="1">
        <f t="array" ref="AB113">IF(ISNUMBER(SEARCH("dev.azure.com", AA113)), IFERROR(VLOOKUP(INDEX('[1]Dettaglio pacchetti'!$AB$1:$AB$530, _xlfn.AGGREGATE(15, 6, (ROW($1:$345))/(ISNUMBER(SEARCH('[1]Dettaglio pacchetti'!$AB$1:$AB$530, $C113))), 1)) &amp; "*", '[1]Dettaglio pacchetti'!$A$1:$N$530, 1, FALSE) &amp; "", ""), "")</f>
        <v/>
      </c>
      <c r="AC113" t="str" cm="1">
        <f t="array" ref="AC113">IFERROR(
    VLOOKUP(
        INDEX('[1]Dettaglio pacchetti'!$AB$1:$AB$530, _xlfn.AGGREGATE(15,6,ROW($1:$345)/(ISNUMBER(SEARCH('[1]Dettaglio pacchetti'!$AB$1:$AB$530,$C113))),1)) &amp; "*",
        '[1]Dettaglio pacchetti'!$A$1:$I$530,
        7,
        FALSE
    ),
    IFERROR(VLOOKUP($C113, '[1]Dettaglio pacchetti'!$A$1:$I$530, 7, FALSE), "")
)</f>
        <v/>
      </c>
      <c r="AD113" t="str" cm="1">
        <f t="array" ref="AD113">IFERROR(
    VLOOKUP(
        INDEX('[1]Dettaglio pacchetti'!$AB$1:$AB$530, _xlfn.AGGREGATE(15,6,ROW($1:$345)/(ISNUMBER(SEARCH('[1]Dettaglio pacchetti'!$AB$1:$AB$530,$C113))),1)) &amp; "*",
        '[1]Dettaglio pacchetti'!$A$1:$I$530,
        6,
        FALSE
    ),
    IFERROR(VLOOKUP($C113, '[1]Dettaglio pacchetti'!$A$1:$I$530, 6, FALSE), "")
)</f>
        <v/>
      </c>
    </row>
    <row r="114" spans="3:30" hidden="1" x14ac:dyDescent="0.3">
      <c r="C114" s="22"/>
      <c r="D114" s="20" t="str" cm="1">
        <f t="array" ref="D114">IFERROR(
    _xlfn.LET(
        _xlpm.risultato,
        IFERROR(
            _xlfn.XLOOKUP(TRIM(UPPER(G114)),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pacchetti'!$E$1:$E$530))=TRIM(UPPER(G114)),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114" s="14" t="str" cm="1">
        <f t="array" ref="E114">IF(TRIM($B114)="SG-ANAGRAFE", "Bugni Batte",
    IF(TRIM($B114)="DW01A", "Cauda",
        IFERROR(
            VLOOKUP(
                INDEX('[1]Dettaglio pacchetti'!$AB$1:$AB$530,
                    _xlfn.AGGREGATE(15, 6,
                        (ROW($1:$345))/(ISNUMBER(SEARCH('[1]Dettaglio pacchetti'!$AB$1:$AB$530, $C114))),
                        1)
                ) &amp; "*",
                '[1]Dettaglio pacchetti'!$A$1:$I$530,
                3,
                FALSE
            ),
            IFERROR(VLOOKUP($C114, '[1]Dettaglio pacchetti'!$A$1:$I$530, 3, FALSE), "")
        )
    )
)</f>
        <v/>
      </c>
      <c r="F114" s="14" t="str" cm="1">
        <f t="array" ref="F114">IF(TRIM($B114)="DW01A", "ETL - EDW Estrattori",
    IFERROR(
        VLOOKUP(
            INDEX('[1]Dettaglio pacchetti'!$AB$1:$AB$530,
                _xlfn.AGGREGATE(15, 6,
                    (ROW($1:$345))/(ISNUMBER(SEARCH('[1]Dettaglio pacchetti'!$AB$1:$AB$530, $C114))),
                    1)
            ) &amp; "*",
            '[1]Dettaglio pacchetti'!$A$1:$I$530,
            4,
            FALSE
        ),
        IFERROR(VLOOKUP($C114, '[1]Dettaglio pacchetti'!$A$1:$I$530, 4, FALSE), "")
    )
)</f>
        <v/>
      </c>
      <c r="G114" s="14" t="str" cm="1">
        <f t="array" ref="G114">IF(TRIM($B114)="DW01A", "ETL - EDW Estrattori",
    IF(TRIM($B114)="SG-ANAGRAFE", "SIGEA Anagrafe",
        IFERROR(
            VLOOKUP(
                INDEX('[1]Dettaglio pacchetti'!$AB$1:$AB$530,
                    _xlfn.AGGREGATE(15, 6,
                        (ROW($1:$345))/(ISNUMBER(SEARCH('[1]Dettaglio pacchetti'!$AB$1:$AB$530, $C114))),
                        1)
                ) &amp; "*",
                '[1]Dettaglio pacchetti'!$A$1:$I$530,
                5,
                FALSE
            ),
            IFERROR(VLOOKUP($C114, '[1]Dettaglio pacchetti'!$A$1:$I$530, 5, FALSE), "")
        )
    )
)</f>
        <v/>
      </c>
      <c r="H114" s="14" t="str" cm="1">
        <f t="array" ref="H114">IFERROR(
    VLOOKUP(
        INDEX('[1]Dettaglio pacchetti'!$AB$1:$AB$530,
            _xlfn.AGGREGATE(15, 6,
                (ROW($1:$345))/(ISNUMBER(SEARCH('[1]Dettaglio pacchetti'!$AB$1:$AB$530, $C114))),
                1)
        ) &amp; "*",
        '[1]Dettaglio pacchetti'!$A$1:$I$530,
        6,
        FALSE
    ),
    IFERROR(VLOOKUP($C114, '[1]Dettaglio pacchetti'!$A$1:$I$530, 6, FALSE), "")
)</f>
        <v/>
      </c>
      <c r="I114" s="7" t="str">
        <f t="shared" si="6"/>
        <v/>
      </c>
      <c r="J114" t="str">
        <f t="shared" si="7"/>
        <v/>
      </c>
      <c r="K114" t="str">
        <f t="shared" si="8"/>
        <v/>
      </c>
      <c r="L114" s="14" t="str" cm="1">
        <f t="array" ref="L114">IFERROR(
    VLOOKUP(
        INDEX('[1]Dettaglio pacchetti'!$AB$1:$AB$530,
            _xlfn.AGGREGATE(15, 6,
                ROW($1:$345)/(ISNUMBER(SEARCH('[1]Dettaglio pacchetti'!$AB$1:$AB$530, $C114))),
                1)
        ) &amp; "*",
        '[1]Dettaglio pacchetti'!$A$1:$I$530,
        8,
        FALSE
    ),
    IFERROR(VLOOKUP($C114, '[1]Dettaglio pacchetti'!$A$1:$I$530, 8, FALSE), "")
)</f>
        <v/>
      </c>
      <c r="M114" s="14" t="str" cm="1">
        <f t="array" ref="M114">IFERROR(
    VLOOKUP(
        INDEX('[1]Dettaglio pacchetti'!$AB$1:$AB$530,
            _xlfn.AGGREGATE(15, 6,
                ROW($1:$345)/(ISNUMBER(SEARCH('[1]Dettaglio pacchetti'!$AB$1:$AB$530, $C114))),
                1)
        ) &amp; "*",
        '[1]Dettaglio pacchetti'!$A$1:$I$530,
        9,
        FALSE
    ),
    IFERROR(VLOOKUP($C114, '[1]Dettaglio pacchetti'!$A$1:$I$530, 9, FALSE), "")
)</f>
        <v/>
      </c>
      <c r="N114" s="7"/>
      <c r="P114" s="6"/>
      <c r="AA114" t="str" cm="1">
        <f t="array" ref="AA114">IFERROR(VLOOKUP(INDEX('[1]Dettaglio pacchetti'!$AB$1:$AB$530, _xlfn.AGGREGATE(15, 6, (ROW($1:$345))/(ISNUMBER(SEARCH('[1]Dettaglio pacchetti'!$AB$1:$AB$530, $C114))), 1)) &amp; "*", '[1]Dettaglio pacchetti'!$A$1:$N$530, 13, FALSE) &amp; "", "")</f>
        <v/>
      </c>
      <c r="AB114" t="str" cm="1">
        <f t="array" ref="AB114">IF(ISNUMBER(SEARCH("dev.azure.com", AA114)), IFERROR(VLOOKUP(INDEX('[1]Dettaglio pacchetti'!$AB$1:$AB$530, _xlfn.AGGREGATE(15, 6, (ROW($1:$345))/(ISNUMBER(SEARCH('[1]Dettaglio pacchetti'!$AB$1:$AB$530, $C114))), 1)) &amp; "*", '[1]Dettaglio pacchetti'!$A$1:$N$530, 1, FALSE) &amp; "", ""), "")</f>
        <v/>
      </c>
      <c r="AC114" t="str" cm="1">
        <f t="array" ref="AC114">IFERROR(
    VLOOKUP(
        INDEX('[1]Dettaglio pacchetti'!$AB$1:$AB$530, _xlfn.AGGREGATE(15,6,ROW($1:$345)/(ISNUMBER(SEARCH('[1]Dettaglio pacchetti'!$AB$1:$AB$530,$C114))),1)) &amp; "*",
        '[1]Dettaglio pacchetti'!$A$1:$I$530,
        7,
        FALSE
    ),
    IFERROR(VLOOKUP($C114, '[1]Dettaglio pacchetti'!$A$1:$I$530, 7, FALSE), "")
)</f>
        <v/>
      </c>
      <c r="AD114" t="str" cm="1">
        <f t="array" ref="AD114">IFERROR(
    VLOOKUP(
        INDEX('[1]Dettaglio pacchetti'!$AB$1:$AB$530, _xlfn.AGGREGATE(15,6,ROW($1:$345)/(ISNUMBER(SEARCH('[1]Dettaglio pacchetti'!$AB$1:$AB$530,$C114))),1)) &amp; "*",
        '[1]Dettaglio pacchetti'!$A$1:$I$530,
        6,
        FALSE
    ),
    IFERROR(VLOOKUP($C114, '[1]Dettaglio pacchetti'!$A$1:$I$530, 6, FALSE), "")
)</f>
        <v/>
      </c>
    </row>
    <row r="115" spans="3:30" hidden="1" x14ac:dyDescent="0.3">
      <c r="C115" s="22"/>
      <c r="D115" s="20" t="str" cm="1">
        <f t="array" ref="D115">IFERROR(
    _xlfn.LET(
        _xlpm.risultato,
        IFERROR(
            _xlfn.XLOOKUP(TRIM(UPPER(G115)),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pacchetti'!$E$1:$E$530))=TRIM(UPPER(G115)),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115" s="14" t="str" cm="1">
        <f t="array" ref="E115">IF(TRIM($B115)="SG-ANAGRAFE", "Bugni Batte",
    IF(TRIM($B115)="DW01A", "Cauda",
        IFERROR(
            VLOOKUP(
                INDEX('[1]Dettaglio pacchetti'!$AB$1:$AB$530,
                    _xlfn.AGGREGATE(15, 6,
                        (ROW($1:$345))/(ISNUMBER(SEARCH('[1]Dettaglio pacchetti'!$AB$1:$AB$530, $C115))),
                        1)
                ) &amp; "*",
                '[1]Dettaglio pacchetti'!$A$1:$I$530,
                3,
                FALSE
            ),
            IFERROR(VLOOKUP($C115, '[1]Dettaglio pacchetti'!$A$1:$I$530, 3, FALSE), "")
        )
    )
)</f>
        <v/>
      </c>
      <c r="F115" s="14" t="str" cm="1">
        <f t="array" ref="F115">IF(TRIM($B115)="DW01A", "ETL - EDW Estrattori",
    IFERROR(
        VLOOKUP(
            INDEX('[1]Dettaglio pacchetti'!$AB$1:$AB$530,
                _xlfn.AGGREGATE(15, 6,
                    (ROW($1:$345))/(ISNUMBER(SEARCH('[1]Dettaglio pacchetti'!$AB$1:$AB$530, $C115))),
                    1)
            ) &amp; "*",
            '[1]Dettaglio pacchetti'!$A$1:$I$530,
            4,
            FALSE
        ),
        IFERROR(VLOOKUP($C115, '[1]Dettaglio pacchetti'!$A$1:$I$530, 4, FALSE), "")
    )
)</f>
        <v/>
      </c>
      <c r="G115" s="14" t="str" cm="1">
        <f t="array" ref="G115">IF(TRIM($B115)="DW01A", "ETL - EDW Estrattori",
    IF(TRIM($B115)="SG-ANAGRAFE", "SIGEA Anagrafe",
        IFERROR(
            VLOOKUP(
                INDEX('[1]Dettaglio pacchetti'!$AB$1:$AB$530,
                    _xlfn.AGGREGATE(15, 6,
                        (ROW($1:$345))/(ISNUMBER(SEARCH('[1]Dettaglio pacchetti'!$AB$1:$AB$530, $C115))),
                        1)
                ) &amp; "*",
                '[1]Dettaglio pacchetti'!$A$1:$I$530,
                5,
                FALSE
            ),
            IFERROR(VLOOKUP($C115, '[1]Dettaglio pacchetti'!$A$1:$I$530, 5, FALSE), "")
        )
    )
)</f>
        <v/>
      </c>
      <c r="H115" s="14" t="str" cm="1">
        <f t="array" ref="H115">IFERROR(
    VLOOKUP(
        INDEX('[1]Dettaglio pacchetti'!$AB$1:$AB$530,
            _xlfn.AGGREGATE(15, 6,
                (ROW($1:$345))/(ISNUMBER(SEARCH('[1]Dettaglio pacchetti'!$AB$1:$AB$530, $C115))),
                1)
        ) &amp; "*",
        '[1]Dettaglio pacchetti'!$A$1:$I$530,
        6,
        FALSE
    ),
    IFERROR(VLOOKUP($C115, '[1]Dettaglio pacchetti'!$A$1:$I$530, 6, FALSE), "")
)</f>
        <v/>
      </c>
      <c r="I115" s="7" t="str">
        <f t="shared" si="6"/>
        <v/>
      </c>
      <c r="J115" t="str">
        <f t="shared" si="7"/>
        <v/>
      </c>
      <c r="K115" t="str">
        <f t="shared" si="8"/>
        <v/>
      </c>
      <c r="L115" s="14" t="str" cm="1">
        <f t="array" ref="L115">IFERROR(
    VLOOKUP(
        INDEX('[1]Dettaglio pacchetti'!$AB$1:$AB$530,
            _xlfn.AGGREGATE(15, 6,
                ROW($1:$345)/(ISNUMBER(SEARCH('[1]Dettaglio pacchetti'!$AB$1:$AB$530, $C115))),
                1)
        ) &amp; "*",
        '[1]Dettaglio pacchetti'!$A$1:$I$530,
        8,
        FALSE
    ),
    IFERROR(VLOOKUP($C115, '[1]Dettaglio pacchetti'!$A$1:$I$530, 8, FALSE), "")
)</f>
        <v/>
      </c>
      <c r="M115" s="14" t="str" cm="1">
        <f t="array" ref="M115">IFERROR(
    VLOOKUP(
        INDEX('[1]Dettaglio pacchetti'!$AB$1:$AB$530,
            _xlfn.AGGREGATE(15, 6,
                ROW($1:$345)/(ISNUMBER(SEARCH('[1]Dettaglio pacchetti'!$AB$1:$AB$530, $C115))),
                1)
        ) &amp; "*",
        '[1]Dettaglio pacchetti'!$A$1:$I$530,
        9,
        FALSE
    ),
    IFERROR(VLOOKUP($C115, '[1]Dettaglio pacchetti'!$A$1:$I$530, 9, FALSE), "")
)</f>
        <v/>
      </c>
      <c r="N115" s="7"/>
      <c r="P115" s="6"/>
      <c r="AA115" t="str" cm="1">
        <f t="array" ref="AA115">IFERROR(VLOOKUP(INDEX('[1]Dettaglio pacchetti'!$AB$1:$AB$530, _xlfn.AGGREGATE(15, 6, (ROW($1:$345))/(ISNUMBER(SEARCH('[1]Dettaglio pacchetti'!$AB$1:$AB$530, $C115))), 1)) &amp; "*", '[1]Dettaglio pacchetti'!$A$1:$N$530, 13, FALSE) &amp; "", "")</f>
        <v/>
      </c>
      <c r="AB115" t="str" cm="1">
        <f t="array" ref="AB115">IF(ISNUMBER(SEARCH("dev.azure.com", AA115)), IFERROR(VLOOKUP(INDEX('[1]Dettaglio pacchetti'!$AB$1:$AB$530, _xlfn.AGGREGATE(15, 6, (ROW($1:$345))/(ISNUMBER(SEARCH('[1]Dettaglio pacchetti'!$AB$1:$AB$530, $C115))), 1)) &amp; "*", '[1]Dettaglio pacchetti'!$A$1:$N$530, 1, FALSE) &amp; "", ""), "")</f>
        <v/>
      </c>
      <c r="AC115" t="str" cm="1">
        <f t="array" ref="AC115">IFERROR(
    VLOOKUP(
        INDEX('[1]Dettaglio pacchetti'!$AB$1:$AB$530, _xlfn.AGGREGATE(15,6,ROW($1:$345)/(ISNUMBER(SEARCH('[1]Dettaglio pacchetti'!$AB$1:$AB$530,$C115))),1)) &amp; "*",
        '[1]Dettaglio pacchetti'!$A$1:$I$530,
        7,
        FALSE
    ),
    IFERROR(VLOOKUP($C115, '[1]Dettaglio pacchetti'!$A$1:$I$530, 7, FALSE), "")
)</f>
        <v/>
      </c>
      <c r="AD115" t="str" cm="1">
        <f t="array" ref="AD115">IFERROR(
    VLOOKUP(
        INDEX('[1]Dettaglio pacchetti'!$AB$1:$AB$530, _xlfn.AGGREGATE(15,6,ROW($1:$345)/(ISNUMBER(SEARCH('[1]Dettaglio pacchetti'!$AB$1:$AB$530,$C115))),1)) &amp; "*",
        '[1]Dettaglio pacchetti'!$A$1:$I$530,
        6,
        FALSE
    ),
    IFERROR(VLOOKUP($C115, '[1]Dettaglio pacchetti'!$A$1:$I$530, 6, FALSE), "")
)</f>
        <v/>
      </c>
    </row>
    <row r="116" spans="3:30" hidden="1" x14ac:dyDescent="0.3">
      <c r="C116" s="22"/>
      <c r="D116" s="20" t="str" cm="1">
        <f t="array" ref="D116">IFERROR(
    _xlfn.LET(
        _xlpm.risultato,
        IFERROR(
            _xlfn.XLOOKUP(TRIM(UPPER(G116)),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pacchetti'!$E$1:$E$530))=TRIM(UPPER(G116)),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116" s="14" t="str" cm="1">
        <f t="array" ref="E116">IF(TRIM($B116)="SG-ANAGRAFE", "Bugni Batte",
    IF(TRIM($B116)="DW01A", "Cauda",
        IFERROR(
            VLOOKUP(
                INDEX('[1]Dettaglio pacchetti'!$AB$1:$AB$530,
                    _xlfn.AGGREGATE(15, 6,
                        (ROW($1:$345))/(ISNUMBER(SEARCH('[1]Dettaglio pacchetti'!$AB$1:$AB$530, $C116))),
                        1)
                ) &amp; "*",
                '[1]Dettaglio pacchetti'!$A$1:$I$530,
                3,
                FALSE
            ),
            IFERROR(VLOOKUP($C116, '[1]Dettaglio pacchetti'!$A$1:$I$530, 3, FALSE), "")
        )
    )
)</f>
        <v/>
      </c>
      <c r="F116" s="14" t="str" cm="1">
        <f t="array" ref="F116">IF(TRIM($B116)="DW01A", "ETL - EDW Estrattori",
    IFERROR(
        VLOOKUP(
            INDEX('[1]Dettaglio pacchetti'!$AB$1:$AB$530,
                _xlfn.AGGREGATE(15, 6,
                    (ROW($1:$345))/(ISNUMBER(SEARCH('[1]Dettaglio pacchetti'!$AB$1:$AB$530, $C116))),
                    1)
            ) &amp; "*",
            '[1]Dettaglio pacchetti'!$A$1:$I$530,
            4,
            FALSE
        ),
        IFERROR(VLOOKUP($C116, '[1]Dettaglio pacchetti'!$A$1:$I$530, 4, FALSE), "")
    )
)</f>
        <v/>
      </c>
      <c r="G116" s="14" t="str" cm="1">
        <f t="array" ref="G116">IF(TRIM($B116)="DW01A", "ETL - EDW Estrattori",
    IF(TRIM($B116)="SG-ANAGRAFE", "SIGEA Anagrafe",
        IFERROR(
            VLOOKUP(
                INDEX('[1]Dettaglio pacchetti'!$AB$1:$AB$530,
                    _xlfn.AGGREGATE(15, 6,
                        (ROW($1:$345))/(ISNUMBER(SEARCH('[1]Dettaglio pacchetti'!$AB$1:$AB$530, $C116))),
                        1)
                ) &amp; "*",
                '[1]Dettaglio pacchetti'!$A$1:$I$530,
                5,
                FALSE
            ),
            IFERROR(VLOOKUP($C116, '[1]Dettaglio pacchetti'!$A$1:$I$530, 5, FALSE), "")
        )
    )
)</f>
        <v/>
      </c>
      <c r="H116" s="14" t="str" cm="1">
        <f t="array" ref="H116">IFERROR(
    VLOOKUP(
        INDEX('[1]Dettaglio pacchetti'!$AB$1:$AB$530,
            _xlfn.AGGREGATE(15, 6,
                (ROW($1:$345))/(ISNUMBER(SEARCH('[1]Dettaglio pacchetti'!$AB$1:$AB$530, $C116))),
                1)
        ) &amp; "*",
        '[1]Dettaglio pacchetti'!$A$1:$I$530,
        6,
        FALSE
    ),
    IFERROR(VLOOKUP($C116, '[1]Dettaglio pacchetti'!$A$1:$I$530, 6, FALSE), "")
)</f>
        <v/>
      </c>
      <c r="I116" s="7" t="str">
        <f t="shared" si="6"/>
        <v/>
      </c>
      <c r="J116" t="str">
        <f t="shared" si="7"/>
        <v/>
      </c>
      <c r="K116" t="str">
        <f t="shared" si="8"/>
        <v/>
      </c>
      <c r="L116" s="14" t="str" cm="1">
        <f t="array" ref="L116">IFERROR(
    VLOOKUP(
        INDEX('[1]Dettaglio pacchetti'!$AB$1:$AB$530,
            _xlfn.AGGREGATE(15, 6,
                ROW($1:$345)/(ISNUMBER(SEARCH('[1]Dettaglio pacchetti'!$AB$1:$AB$530, $C116))),
                1)
        ) &amp; "*",
        '[1]Dettaglio pacchetti'!$A$1:$I$530,
        8,
        FALSE
    ),
    IFERROR(VLOOKUP($C116, '[1]Dettaglio pacchetti'!$A$1:$I$530, 8, FALSE), "")
)</f>
        <v/>
      </c>
      <c r="M116" s="14" t="str" cm="1">
        <f t="array" ref="M116">IFERROR(
    VLOOKUP(
        INDEX('[1]Dettaglio pacchetti'!$AB$1:$AB$530,
            _xlfn.AGGREGATE(15, 6,
                ROW($1:$345)/(ISNUMBER(SEARCH('[1]Dettaglio pacchetti'!$AB$1:$AB$530, $C116))),
                1)
        ) &amp; "*",
        '[1]Dettaglio pacchetti'!$A$1:$I$530,
        9,
        FALSE
    ),
    IFERROR(VLOOKUP($C116, '[1]Dettaglio pacchetti'!$A$1:$I$530, 9, FALSE), "")
)</f>
        <v/>
      </c>
      <c r="N116" s="7"/>
      <c r="P116" s="6"/>
      <c r="AA116" t="str" cm="1">
        <f t="array" ref="AA116">IFERROR(VLOOKUP(INDEX('[1]Dettaglio pacchetti'!$AB$1:$AB$530, _xlfn.AGGREGATE(15, 6, (ROW($1:$345))/(ISNUMBER(SEARCH('[1]Dettaglio pacchetti'!$AB$1:$AB$530, $C116))), 1)) &amp; "*", '[1]Dettaglio pacchetti'!$A$1:$N$530, 13, FALSE) &amp; "", "")</f>
        <v/>
      </c>
      <c r="AB116" t="str" cm="1">
        <f t="array" ref="AB116">IF(ISNUMBER(SEARCH("dev.azure.com", AA116)), IFERROR(VLOOKUP(INDEX('[1]Dettaglio pacchetti'!$AB$1:$AB$530, _xlfn.AGGREGATE(15, 6, (ROW($1:$345))/(ISNUMBER(SEARCH('[1]Dettaglio pacchetti'!$AB$1:$AB$530, $C116))), 1)) &amp; "*", '[1]Dettaglio pacchetti'!$A$1:$N$530, 1, FALSE) &amp; "", ""), "")</f>
        <v/>
      </c>
      <c r="AC116" t="str" cm="1">
        <f t="array" ref="AC116">IFERROR(
    VLOOKUP(
        INDEX('[1]Dettaglio pacchetti'!$AB$1:$AB$530, _xlfn.AGGREGATE(15,6,ROW($1:$345)/(ISNUMBER(SEARCH('[1]Dettaglio pacchetti'!$AB$1:$AB$530,$C116))),1)) &amp; "*",
        '[1]Dettaglio pacchetti'!$A$1:$I$530,
        7,
        FALSE
    ),
    IFERROR(VLOOKUP($C116, '[1]Dettaglio pacchetti'!$A$1:$I$530, 7, FALSE), "")
)</f>
        <v/>
      </c>
      <c r="AD116" t="str" cm="1">
        <f t="array" ref="AD116">IFERROR(
    VLOOKUP(
        INDEX('[1]Dettaglio pacchetti'!$AB$1:$AB$530, _xlfn.AGGREGATE(15,6,ROW($1:$345)/(ISNUMBER(SEARCH('[1]Dettaglio pacchetti'!$AB$1:$AB$530,$C116))),1)) &amp; "*",
        '[1]Dettaglio pacchetti'!$A$1:$I$530,
        6,
        FALSE
    ),
    IFERROR(VLOOKUP($C116, '[1]Dettaglio pacchetti'!$A$1:$I$530, 6, FALSE), "")
)</f>
        <v/>
      </c>
    </row>
    <row r="117" spans="3:30" hidden="1" x14ac:dyDescent="0.3">
      <c r="C117" s="22"/>
      <c r="D117" s="20" t="str" cm="1">
        <f t="array" ref="D117">IFERROR(
    _xlfn.LET(
        _xlpm.risultato,
        IFERROR(
            _xlfn.XLOOKUP(TRIM(UPPER(G117)),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pacchetti'!$E$1:$E$530))=TRIM(UPPER(G117)),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117" s="14" t="str" cm="1">
        <f t="array" ref="E117">IF(TRIM($B117)="SG-ANAGRAFE", "Bugni Batte",
    IF(TRIM($B117)="DW01A", "Cauda",
        IFERROR(
            VLOOKUP(
                INDEX('[1]Dettaglio pacchetti'!$AB$1:$AB$530,
                    _xlfn.AGGREGATE(15, 6,
                        (ROW($1:$345))/(ISNUMBER(SEARCH('[1]Dettaglio pacchetti'!$AB$1:$AB$530, $C117))),
                        1)
                ) &amp; "*",
                '[1]Dettaglio pacchetti'!$A$1:$I$530,
                3,
                FALSE
            ),
            IFERROR(VLOOKUP($C117, '[1]Dettaglio pacchetti'!$A$1:$I$530, 3, FALSE), "")
        )
    )
)</f>
        <v/>
      </c>
      <c r="F117" s="14" t="str" cm="1">
        <f t="array" ref="F117">IF(TRIM($B117)="DW01A", "ETL - EDW Estrattori",
    IFERROR(
        VLOOKUP(
            INDEX('[1]Dettaglio pacchetti'!$AB$1:$AB$530,
                _xlfn.AGGREGATE(15, 6,
                    (ROW($1:$345))/(ISNUMBER(SEARCH('[1]Dettaglio pacchetti'!$AB$1:$AB$530, $C117))),
                    1)
            ) &amp; "*",
            '[1]Dettaglio pacchetti'!$A$1:$I$530,
            4,
            FALSE
        ),
        IFERROR(VLOOKUP($C117, '[1]Dettaglio pacchetti'!$A$1:$I$530, 4, FALSE), "")
    )
)</f>
        <v/>
      </c>
      <c r="G117" s="14" t="str" cm="1">
        <f t="array" ref="G117">IF(TRIM($B117)="DW01A", "ETL - EDW Estrattori",
    IF(TRIM($B117)="SG-ANAGRAFE", "SIGEA Anagrafe",
        IFERROR(
            VLOOKUP(
                INDEX('[1]Dettaglio pacchetti'!$AB$1:$AB$530,
                    _xlfn.AGGREGATE(15, 6,
                        (ROW($1:$345))/(ISNUMBER(SEARCH('[1]Dettaglio pacchetti'!$AB$1:$AB$530, $C117))),
                        1)
                ) &amp; "*",
                '[1]Dettaglio pacchetti'!$A$1:$I$530,
                5,
                FALSE
            ),
            IFERROR(VLOOKUP($C117, '[1]Dettaglio pacchetti'!$A$1:$I$530, 5, FALSE), "")
        )
    )
)</f>
        <v/>
      </c>
      <c r="H117" s="14" t="str" cm="1">
        <f t="array" ref="H117">IFERROR(
    VLOOKUP(
        INDEX('[1]Dettaglio pacchetti'!$AB$1:$AB$530,
            _xlfn.AGGREGATE(15, 6,
                (ROW($1:$345))/(ISNUMBER(SEARCH('[1]Dettaglio pacchetti'!$AB$1:$AB$530, $C117))),
                1)
        ) &amp; "*",
        '[1]Dettaglio pacchetti'!$A$1:$I$530,
        6,
        FALSE
    ),
    IFERROR(VLOOKUP($C117, '[1]Dettaglio pacchetti'!$A$1:$I$530, 6, FALSE), "")
)</f>
        <v/>
      </c>
      <c r="I117" s="7" t="str">
        <f t="shared" si="6"/>
        <v/>
      </c>
      <c r="J117" t="str">
        <f t="shared" si="7"/>
        <v/>
      </c>
      <c r="K117" t="str">
        <f t="shared" si="8"/>
        <v/>
      </c>
      <c r="L117" s="14" t="str" cm="1">
        <f t="array" ref="L117">IFERROR(
    VLOOKUP(
        INDEX('[1]Dettaglio pacchetti'!$AB$1:$AB$530,
            _xlfn.AGGREGATE(15, 6,
                ROW($1:$345)/(ISNUMBER(SEARCH('[1]Dettaglio pacchetti'!$AB$1:$AB$530, $C117))),
                1)
        ) &amp; "*",
        '[1]Dettaglio pacchetti'!$A$1:$I$530,
        8,
        FALSE
    ),
    IFERROR(VLOOKUP($C117, '[1]Dettaglio pacchetti'!$A$1:$I$530, 8, FALSE), "")
)</f>
        <v/>
      </c>
      <c r="M117" s="14" t="str" cm="1">
        <f t="array" ref="M117">IFERROR(
    VLOOKUP(
        INDEX('[1]Dettaglio pacchetti'!$AB$1:$AB$530,
            _xlfn.AGGREGATE(15, 6,
                ROW($1:$345)/(ISNUMBER(SEARCH('[1]Dettaglio pacchetti'!$AB$1:$AB$530, $C117))),
                1)
        ) &amp; "*",
        '[1]Dettaglio pacchetti'!$A$1:$I$530,
        9,
        FALSE
    ),
    IFERROR(VLOOKUP($C117, '[1]Dettaglio pacchetti'!$A$1:$I$530, 9, FALSE), "")
)</f>
        <v/>
      </c>
      <c r="N117" s="7"/>
      <c r="P117" s="6"/>
      <c r="AA117" t="str" cm="1">
        <f t="array" ref="AA117">IFERROR(VLOOKUP(INDEX('[1]Dettaglio pacchetti'!$AB$1:$AB$530, _xlfn.AGGREGATE(15, 6, (ROW($1:$345))/(ISNUMBER(SEARCH('[1]Dettaglio pacchetti'!$AB$1:$AB$530, $C117))), 1)) &amp; "*", '[1]Dettaglio pacchetti'!$A$1:$N$530, 13, FALSE) &amp; "", "")</f>
        <v/>
      </c>
      <c r="AB117" t="str" cm="1">
        <f t="array" ref="AB117">IF(ISNUMBER(SEARCH("dev.azure.com", AA117)), IFERROR(VLOOKUP(INDEX('[1]Dettaglio pacchetti'!$AB$1:$AB$530, _xlfn.AGGREGATE(15, 6, (ROW($1:$345))/(ISNUMBER(SEARCH('[1]Dettaglio pacchetti'!$AB$1:$AB$530, $C117))), 1)) &amp; "*", '[1]Dettaglio pacchetti'!$A$1:$N$530, 1, FALSE) &amp; "", ""), "")</f>
        <v/>
      </c>
      <c r="AC117" t="str" cm="1">
        <f t="array" ref="AC117">IFERROR(
    VLOOKUP(
        INDEX('[1]Dettaglio pacchetti'!$AB$1:$AB$530, _xlfn.AGGREGATE(15,6,ROW($1:$345)/(ISNUMBER(SEARCH('[1]Dettaglio pacchetti'!$AB$1:$AB$530,$C117))),1)) &amp; "*",
        '[1]Dettaglio pacchetti'!$A$1:$I$530,
        7,
        FALSE
    ),
    IFERROR(VLOOKUP($C117, '[1]Dettaglio pacchetti'!$A$1:$I$530, 7, FALSE), "")
)</f>
        <v/>
      </c>
      <c r="AD117" t="str" cm="1">
        <f t="array" ref="AD117">IFERROR(
    VLOOKUP(
        INDEX('[1]Dettaglio pacchetti'!$AB$1:$AB$530, _xlfn.AGGREGATE(15,6,ROW($1:$345)/(ISNUMBER(SEARCH('[1]Dettaglio pacchetti'!$AB$1:$AB$530,$C117))),1)) &amp; "*",
        '[1]Dettaglio pacchetti'!$A$1:$I$530,
        6,
        FALSE
    ),
    IFERROR(VLOOKUP($C117, '[1]Dettaglio pacchetti'!$A$1:$I$530, 6, FALSE), "")
)</f>
        <v/>
      </c>
    </row>
    <row r="118" spans="3:30" hidden="1" x14ac:dyDescent="0.3">
      <c r="C118" s="22"/>
      <c r="D118" s="20" t="str" cm="1">
        <f t="array" ref="D118">IFERROR(
    _xlfn.LET(
        _xlpm.risultato,
        IFERROR(
            _xlfn.XLOOKUP(TRIM(UPPER(G118)),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pacchetti'!$E$1:$E$530))=TRIM(UPPER(G118)),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118" s="14" t="str" cm="1">
        <f t="array" ref="E118">IF(TRIM($B118)="SG-ANAGRAFE", "Bugni Batte",
    IF(TRIM($B118)="DW01A", "Cauda",
        IFERROR(
            VLOOKUP(
                INDEX('[1]Dettaglio pacchetti'!$AB$1:$AB$530,
                    _xlfn.AGGREGATE(15, 6,
                        (ROW($1:$345))/(ISNUMBER(SEARCH('[1]Dettaglio pacchetti'!$AB$1:$AB$530, $C118))),
                        1)
                ) &amp; "*",
                '[1]Dettaglio pacchetti'!$A$1:$I$530,
                3,
                FALSE
            ),
            IFERROR(VLOOKUP($C118, '[1]Dettaglio pacchetti'!$A$1:$I$530, 3, FALSE), "")
        )
    )
)</f>
        <v/>
      </c>
      <c r="F118" s="14" t="str" cm="1">
        <f t="array" ref="F118">IF(TRIM($B118)="DW01A", "ETL - EDW Estrattori",
    IFERROR(
        VLOOKUP(
            INDEX('[1]Dettaglio pacchetti'!$AB$1:$AB$530,
                _xlfn.AGGREGATE(15, 6,
                    (ROW($1:$345))/(ISNUMBER(SEARCH('[1]Dettaglio pacchetti'!$AB$1:$AB$530, $C118))),
                    1)
            ) &amp; "*",
            '[1]Dettaglio pacchetti'!$A$1:$I$530,
            4,
            FALSE
        ),
        IFERROR(VLOOKUP($C118, '[1]Dettaglio pacchetti'!$A$1:$I$530, 4, FALSE), "")
    )
)</f>
        <v/>
      </c>
      <c r="G118" s="14" t="str" cm="1">
        <f t="array" ref="G118">IF(TRIM($B118)="DW01A", "ETL - EDW Estrattori",
    IF(TRIM($B118)="SG-ANAGRAFE", "SIGEA Anagrafe",
        IFERROR(
            VLOOKUP(
                INDEX('[1]Dettaglio pacchetti'!$AB$1:$AB$530,
                    _xlfn.AGGREGATE(15, 6,
                        (ROW($1:$345))/(ISNUMBER(SEARCH('[1]Dettaglio pacchetti'!$AB$1:$AB$530, $C118))),
                        1)
                ) &amp; "*",
                '[1]Dettaglio pacchetti'!$A$1:$I$530,
                5,
                FALSE
            ),
            IFERROR(VLOOKUP($C118, '[1]Dettaglio pacchetti'!$A$1:$I$530, 5, FALSE), "")
        )
    )
)</f>
        <v/>
      </c>
      <c r="H118" s="14" t="str" cm="1">
        <f t="array" ref="H118">IFERROR(
    VLOOKUP(
        INDEX('[1]Dettaglio pacchetti'!$AB$1:$AB$530,
            _xlfn.AGGREGATE(15, 6,
                (ROW($1:$345))/(ISNUMBER(SEARCH('[1]Dettaglio pacchetti'!$AB$1:$AB$530, $C118))),
                1)
        ) &amp; "*",
        '[1]Dettaglio pacchetti'!$A$1:$I$530,
        6,
        FALSE
    ),
    IFERROR(VLOOKUP($C118, '[1]Dettaglio pacchetti'!$A$1:$I$530, 6, FALSE), "")
)</f>
        <v/>
      </c>
      <c r="I118" s="7" t="str">
        <f t="shared" si="6"/>
        <v/>
      </c>
      <c r="J118" t="str">
        <f t="shared" si="7"/>
        <v/>
      </c>
      <c r="K118" t="str">
        <f t="shared" si="8"/>
        <v/>
      </c>
      <c r="L118" s="14" t="str" cm="1">
        <f t="array" ref="L118">IFERROR(
    VLOOKUP(
        INDEX('[1]Dettaglio pacchetti'!$AB$1:$AB$530,
            _xlfn.AGGREGATE(15, 6,
                ROW($1:$345)/(ISNUMBER(SEARCH('[1]Dettaglio pacchetti'!$AB$1:$AB$530, $C118))),
                1)
        ) &amp; "*",
        '[1]Dettaglio pacchetti'!$A$1:$I$530,
        8,
        FALSE
    ),
    IFERROR(VLOOKUP($C118, '[1]Dettaglio pacchetti'!$A$1:$I$530, 8, FALSE), "")
)</f>
        <v/>
      </c>
      <c r="M118" s="14" t="str" cm="1">
        <f t="array" ref="M118">IFERROR(
    VLOOKUP(
        INDEX('[1]Dettaglio pacchetti'!$AB$1:$AB$530,
            _xlfn.AGGREGATE(15, 6,
                ROW($1:$345)/(ISNUMBER(SEARCH('[1]Dettaglio pacchetti'!$AB$1:$AB$530, $C118))),
                1)
        ) &amp; "*",
        '[1]Dettaglio pacchetti'!$A$1:$I$530,
        9,
        FALSE
    ),
    IFERROR(VLOOKUP($C118, '[1]Dettaglio pacchetti'!$A$1:$I$530, 9, FALSE), "")
)</f>
        <v/>
      </c>
      <c r="N118" s="7"/>
      <c r="P118" s="6"/>
      <c r="AA118" t="str" cm="1">
        <f t="array" ref="AA118">IFERROR(VLOOKUP(INDEX('[1]Dettaglio pacchetti'!$AB$1:$AB$530, _xlfn.AGGREGATE(15, 6, (ROW($1:$345))/(ISNUMBER(SEARCH('[1]Dettaglio pacchetti'!$AB$1:$AB$530, $C118))), 1)) &amp; "*", '[1]Dettaglio pacchetti'!$A$1:$N$530, 13, FALSE) &amp; "", "")</f>
        <v/>
      </c>
      <c r="AB118" t="str" cm="1">
        <f t="array" ref="AB118">IF(ISNUMBER(SEARCH("dev.azure.com", AA118)), IFERROR(VLOOKUP(INDEX('[1]Dettaglio pacchetti'!$AB$1:$AB$530, _xlfn.AGGREGATE(15, 6, (ROW($1:$345))/(ISNUMBER(SEARCH('[1]Dettaglio pacchetti'!$AB$1:$AB$530, $C118))), 1)) &amp; "*", '[1]Dettaglio pacchetti'!$A$1:$N$530, 1, FALSE) &amp; "", ""), "")</f>
        <v/>
      </c>
      <c r="AC118" t="str" cm="1">
        <f t="array" ref="AC118">IFERROR(
    VLOOKUP(
        INDEX('[1]Dettaglio pacchetti'!$AB$1:$AB$530, _xlfn.AGGREGATE(15,6,ROW($1:$345)/(ISNUMBER(SEARCH('[1]Dettaglio pacchetti'!$AB$1:$AB$530,$C118))),1)) &amp; "*",
        '[1]Dettaglio pacchetti'!$A$1:$I$530,
        7,
        FALSE
    ),
    IFERROR(VLOOKUP($C118, '[1]Dettaglio pacchetti'!$A$1:$I$530, 7, FALSE), "")
)</f>
        <v/>
      </c>
      <c r="AD118" t="str" cm="1">
        <f t="array" ref="AD118">IFERROR(
    VLOOKUP(
        INDEX('[1]Dettaglio pacchetti'!$AB$1:$AB$530, _xlfn.AGGREGATE(15,6,ROW($1:$345)/(ISNUMBER(SEARCH('[1]Dettaglio pacchetti'!$AB$1:$AB$530,$C118))),1)) &amp; "*",
        '[1]Dettaglio pacchetti'!$A$1:$I$530,
        6,
        FALSE
    ),
    IFERROR(VLOOKUP($C118, '[1]Dettaglio pacchetti'!$A$1:$I$530, 6, FALSE), "")
)</f>
        <v/>
      </c>
    </row>
    <row r="119" spans="3:30" hidden="1" x14ac:dyDescent="0.3">
      <c r="C119" s="22"/>
      <c r="D119" s="20" t="str" cm="1">
        <f t="array" ref="D119">IFERROR(
    _xlfn.LET(
        _xlpm.risultato,
        IFERROR(
            _xlfn.XLOOKUP(TRIM(UPPER(G119)),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pacchetti'!$E$1:$E$530))=TRIM(UPPER(G119)),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119" s="14" t="str" cm="1">
        <f t="array" ref="E119">IF(TRIM($B119)="SG-ANAGRAFE", "Bugni Batte",
    IF(TRIM($B119)="DW01A", "Cauda",
        IFERROR(
            VLOOKUP(
                INDEX('[1]Dettaglio pacchetti'!$AB$1:$AB$530,
                    _xlfn.AGGREGATE(15, 6,
                        (ROW($1:$345))/(ISNUMBER(SEARCH('[1]Dettaglio pacchetti'!$AB$1:$AB$530, $C119))),
                        1)
                ) &amp; "*",
                '[1]Dettaglio pacchetti'!$A$1:$I$530,
                3,
                FALSE
            ),
            IFERROR(VLOOKUP($C119, '[1]Dettaglio pacchetti'!$A$1:$I$530, 3, FALSE), "")
        )
    )
)</f>
        <v/>
      </c>
      <c r="F119" s="14" t="str" cm="1">
        <f t="array" ref="F119">IF(TRIM($B119)="DW01A", "ETL - EDW Estrattori",
    IFERROR(
        VLOOKUP(
            INDEX('[1]Dettaglio pacchetti'!$AB$1:$AB$530,
                _xlfn.AGGREGATE(15, 6,
                    (ROW($1:$345))/(ISNUMBER(SEARCH('[1]Dettaglio pacchetti'!$AB$1:$AB$530, $C119))),
                    1)
            ) &amp; "*",
            '[1]Dettaglio pacchetti'!$A$1:$I$530,
            4,
            FALSE
        ),
        IFERROR(VLOOKUP($C119, '[1]Dettaglio pacchetti'!$A$1:$I$530, 4, FALSE), "")
    )
)</f>
        <v/>
      </c>
      <c r="G119" s="14" t="str" cm="1">
        <f t="array" ref="G119">IF(TRIM($B119)="DW01A", "ETL - EDW Estrattori",
    IF(TRIM($B119)="SG-ANAGRAFE", "SIGEA Anagrafe",
        IFERROR(
            VLOOKUP(
                INDEX('[1]Dettaglio pacchetti'!$AB$1:$AB$530,
                    _xlfn.AGGREGATE(15, 6,
                        (ROW($1:$345))/(ISNUMBER(SEARCH('[1]Dettaglio pacchetti'!$AB$1:$AB$530, $C119))),
                        1)
                ) &amp; "*",
                '[1]Dettaglio pacchetti'!$A$1:$I$530,
                5,
                FALSE
            ),
            IFERROR(VLOOKUP($C119, '[1]Dettaglio pacchetti'!$A$1:$I$530, 5, FALSE), "")
        )
    )
)</f>
        <v/>
      </c>
      <c r="H119" s="14" t="str" cm="1">
        <f t="array" ref="H119">IFERROR(
    VLOOKUP(
        INDEX('[1]Dettaglio pacchetti'!$AB$1:$AB$530,
            _xlfn.AGGREGATE(15, 6,
                (ROW($1:$345))/(ISNUMBER(SEARCH('[1]Dettaglio pacchetti'!$AB$1:$AB$530, $C119))),
                1)
        ) &amp; "*",
        '[1]Dettaglio pacchetti'!$A$1:$I$530,
        6,
        FALSE
    ),
    IFERROR(VLOOKUP($C119, '[1]Dettaglio pacchetti'!$A$1:$I$530, 6, FALSE), "")
)</f>
        <v/>
      </c>
      <c r="I119" s="7" t="str">
        <f t="shared" si="6"/>
        <v/>
      </c>
      <c r="J119" t="str">
        <f t="shared" si="7"/>
        <v/>
      </c>
      <c r="K119" t="str">
        <f t="shared" si="8"/>
        <v/>
      </c>
      <c r="L119" s="14" t="str" cm="1">
        <f t="array" ref="L119">IFERROR(
    VLOOKUP(
        INDEX('[1]Dettaglio pacchetti'!$AB$1:$AB$530,
            _xlfn.AGGREGATE(15, 6,
                ROW($1:$345)/(ISNUMBER(SEARCH('[1]Dettaglio pacchetti'!$AB$1:$AB$530, $C119))),
                1)
        ) &amp; "*",
        '[1]Dettaglio pacchetti'!$A$1:$I$530,
        8,
        FALSE
    ),
    IFERROR(VLOOKUP($C119, '[1]Dettaglio pacchetti'!$A$1:$I$530, 8, FALSE), "")
)</f>
        <v/>
      </c>
      <c r="M119" s="14" t="str" cm="1">
        <f t="array" ref="M119">IFERROR(
    VLOOKUP(
        INDEX('[1]Dettaglio pacchetti'!$AB$1:$AB$530,
            _xlfn.AGGREGATE(15, 6,
                ROW($1:$345)/(ISNUMBER(SEARCH('[1]Dettaglio pacchetti'!$AB$1:$AB$530, $C119))),
                1)
        ) &amp; "*",
        '[1]Dettaglio pacchetti'!$A$1:$I$530,
        9,
        FALSE
    ),
    IFERROR(VLOOKUP($C119, '[1]Dettaglio pacchetti'!$A$1:$I$530, 9, FALSE), "")
)</f>
        <v/>
      </c>
      <c r="N119" s="7"/>
      <c r="P119" s="6"/>
      <c r="AA119" t="str" cm="1">
        <f t="array" ref="AA119">IFERROR(VLOOKUP(INDEX('[1]Dettaglio pacchetti'!$AB$1:$AB$530, _xlfn.AGGREGATE(15, 6, (ROW($1:$345))/(ISNUMBER(SEARCH('[1]Dettaglio pacchetti'!$AB$1:$AB$530, $C119))), 1)) &amp; "*", '[1]Dettaglio pacchetti'!$A$1:$N$530, 13, FALSE) &amp; "", "")</f>
        <v/>
      </c>
      <c r="AB119" t="str" cm="1">
        <f t="array" ref="AB119">IF(ISNUMBER(SEARCH("dev.azure.com", AA119)), IFERROR(VLOOKUP(INDEX('[1]Dettaglio pacchetti'!$AB$1:$AB$530, _xlfn.AGGREGATE(15, 6, (ROW($1:$345))/(ISNUMBER(SEARCH('[1]Dettaglio pacchetti'!$AB$1:$AB$530, $C119))), 1)) &amp; "*", '[1]Dettaglio pacchetti'!$A$1:$N$530, 1, FALSE) &amp; "", ""), "")</f>
        <v/>
      </c>
      <c r="AC119" t="str" cm="1">
        <f t="array" ref="AC119">IFERROR(
    VLOOKUP(
        INDEX('[1]Dettaglio pacchetti'!$AB$1:$AB$530, _xlfn.AGGREGATE(15,6,ROW($1:$345)/(ISNUMBER(SEARCH('[1]Dettaglio pacchetti'!$AB$1:$AB$530,$C119))),1)) &amp; "*",
        '[1]Dettaglio pacchetti'!$A$1:$I$530,
        7,
        FALSE
    ),
    IFERROR(VLOOKUP($C119, '[1]Dettaglio pacchetti'!$A$1:$I$530, 7, FALSE), "")
)</f>
        <v/>
      </c>
      <c r="AD119" t="str" cm="1">
        <f t="array" ref="AD119">IFERROR(
    VLOOKUP(
        INDEX('[1]Dettaglio pacchetti'!$AB$1:$AB$530, _xlfn.AGGREGATE(15,6,ROW($1:$345)/(ISNUMBER(SEARCH('[1]Dettaglio pacchetti'!$AB$1:$AB$530,$C119))),1)) &amp; "*",
        '[1]Dettaglio pacchetti'!$A$1:$I$530,
        6,
        FALSE
    ),
    IFERROR(VLOOKUP($C119, '[1]Dettaglio pacchetti'!$A$1:$I$530, 6, FALSE), "")
)</f>
        <v/>
      </c>
    </row>
    <row r="120" spans="3:30" hidden="1" x14ac:dyDescent="0.3">
      <c r="C120" s="22"/>
      <c r="D120" s="20" t="str" cm="1">
        <f t="array" ref="D120">IFERROR(
    _xlfn.LET(
        _xlpm.risultato,
        IFERROR(
            _xlfn.XLOOKUP(TRIM(UPPER(G120)),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pacchetti'!$E$1:$E$530))=TRIM(UPPER(G120)),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120" s="14" t="str" cm="1">
        <f t="array" ref="E120">IF(TRIM($B120)="SG-ANAGRAFE", "Bugni Batte",
    IF(TRIM($B120)="DW01A", "Cauda",
        IFERROR(
            VLOOKUP(
                INDEX('[1]Dettaglio pacchetti'!$AB$1:$AB$530,
                    _xlfn.AGGREGATE(15, 6,
                        (ROW($1:$345))/(ISNUMBER(SEARCH('[1]Dettaglio pacchetti'!$AB$1:$AB$530, $C120))),
                        1)
                ) &amp; "*",
                '[1]Dettaglio pacchetti'!$A$1:$I$530,
                3,
                FALSE
            ),
            IFERROR(VLOOKUP($C120, '[1]Dettaglio pacchetti'!$A$1:$I$530, 3, FALSE), "")
        )
    )
)</f>
        <v/>
      </c>
      <c r="F120" s="14" t="str" cm="1">
        <f t="array" ref="F120">IF(TRIM($B120)="DW01A", "ETL - EDW Estrattori",
    IFERROR(
        VLOOKUP(
            INDEX('[1]Dettaglio pacchetti'!$AB$1:$AB$530,
                _xlfn.AGGREGATE(15, 6,
                    (ROW($1:$345))/(ISNUMBER(SEARCH('[1]Dettaglio pacchetti'!$AB$1:$AB$530, $C120))),
                    1)
            ) &amp; "*",
            '[1]Dettaglio pacchetti'!$A$1:$I$530,
            4,
            FALSE
        ),
        IFERROR(VLOOKUP($C120, '[1]Dettaglio pacchetti'!$A$1:$I$530, 4, FALSE), "")
    )
)</f>
        <v/>
      </c>
      <c r="G120" s="14" t="str" cm="1">
        <f t="array" ref="G120">IF(TRIM($B120)="DW01A", "ETL - EDW Estrattori",
    IF(TRIM($B120)="SG-ANAGRAFE", "SIGEA Anagrafe",
        IFERROR(
            VLOOKUP(
                INDEX('[1]Dettaglio pacchetti'!$AB$1:$AB$530,
                    _xlfn.AGGREGATE(15, 6,
                        (ROW($1:$345))/(ISNUMBER(SEARCH('[1]Dettaglio pacchetti'!$AB$1:$AB$530, $C120))),
                        1)
                ) &amp; "*",
                '[1]Dettaglio pacchetti'!$A$1:$I$530,
                5,
                FALSE
            ),
            IFERROR(VLOOKUP($C120, '[1]Dettaglio pacchetti'!$A$1:$I$530, 5, FALSE), "")
        )
    )
)</f>
        <v/>
      </c>
      <c r="H120" s="14" t="str" cm="1">
        <f t="array" ref="H120">IFERROR(
    VLOOKUP(
        INDEX('[1]Dettaglio pacchetti'!$AB$1:$AB$530,
            _xlfn.AGGREGATE(15, 6,
                (ROW($1:$345))/(ISNUMBER(SEARCH('[1]Dettaglio pacchetti'!$AB$1:$AB$530, $C120))),
                1)
        ) &amp; "*",
        '[1]Dettaglio pacchetti'!$A$1:$I$530,
        6,
        FALSE
    ),
    IFERROR(VLOOKUP($C120, '[1]Dettaglio pacchetti'!$A$1:$I$530, 6, FALSE), "")
)</f>
        <v/>
      </c>
      <c r="I120" s="7" t="str">
        <f t="shared" si="6"/>
        <v/>
      </c>
      <c r="J120" t="str">
        <f t="shared" si="7"/>
        <v/>
      </c>
      <c r="K120" t="str">
        <f t="shared" si="8"/>
        <v/>
      </c>
      <c r="L120" s="14" t="str" cm="1">
        <f t="array" ref="L120">IFERROR(
    VLOOKUP(
        INDEX('[1]Dettaglio pacchetti'!$AB$1:$AB$530,
            _xlfn.AGGREGATE(15, 6,
                ROW($1:$345)/(ISNUMBER(SEARCH('[1]Dettaglio pacchetti'!$AB$1:$AB$530, $C120))),
                1)
        ) &amp; "*",
        '[1]Dettaglio pacchetti'!$A$1:$I$530,
        8,
        FALSE
    ),
    IFERROR(VLOOKUP($C120, '[1]Dettaglio pacchetti'!$A$1:$I$530, 8, FALSE), "")
)</f>
        <v/>
      </c>
      <c r="M120" s="14" t="str" cm="1">
        <f t="array" ref="M120">IFERROR(
    VLOOKUP(
        INDEX('[1]Dettaglio pacchetti'!$AB$1:$AB$530,
            _xlfn.AGGREGATE(15, 6,
                ROW($1:$345)/(ISNUMBER(SEARCH('[1]Dettaglio pacchetti'!$AB$1:$AB$530, $C120))),
                1)
        ) &amp; "*",
        '[1]Dettaglio pacchetti'!$A$1:$I$530,
        9,
        FALSE
    ),
    IFERROR(VLOOKUP($C120, '[1]Dettaglio pacchetti'!$A$1:$I$530, 9, FALSE), "")
)</f>
        <v/>
      </c>
      <c r="N120" s="7"/>
      <c r="P120" s="6"/>
      <c r="AA120" t="str" cm="1">
        <f t="array" ref="AA120">IFERROR(VLOOKUP(INDEX('[1]Dettaglio pacchetti'!$AB$1:$AB$530, _xlfn.AGGREGATE(15, 6, (ROW($1:$345))/(ISNUMBER(SEARCH('[1]Dettaglio pacchetti'!$AB$1:$AB$530, $C120))), 1)) &amp; "*", '[1]Dettaglio pacchetti'!$A$1:$N$530, 13, FALSE) &amp; "", "")</f>
        <v/>
      </c>
      <c r="AB120" t="str" cm="1">
        <f t="array" ref="AB120">IF(ISNUMBER(SEARCH("dev.azure.com", AA120)), IFERROR(VLOOKUP(INDEX('[1]Dettaglio pacchetti'!$AB$1:$AB$530, _xlfn.AGGREGATE(15, 6, (ROW($1:$345))/(ISNUMBER(SEARCH('[1]Dettaglio pacchetti'!$AB$1:$AB$530, $C120))), 1)) &amp; "*", '[1]Dettaglio pacchetti'!$A$1:$N$530, 1, FALSE) &amp; "", ""), "")</f>
        <v/>
      </c>
      <c r="AC120" t="str" cm="1">
        <f t="array" ref="AC120">IFERROR(
    VLOOKUP(
        INDEX('[1]Dettaglio pacchetti'!$AB$1:$AB$530, _xlfn.AGGREGATE(15,6,ROW($1:$345)/(ISNUMBER(SEARCH('[1]Dettaglio pacchetti'!$AB$1:$AB$530,$C120))),1)) &amp; "*",
        '[1]Dettaglio pacchetti'!$A$1:$I$530,
        7,
        FALSE
    ),
    IFERROR(VLOOKUP($C120, '[1]Dettaglio pacchetti'!$A$1:$I$530, 7, FALSE), "")
)</f>
        <v/>
      </c>
      <c r="AD120" t="str" cm="1">
        <f t="array" ref="AD120">IFERROR(
    VLOOKUP(
        INDEX('[1]Dettaglio pacchetti'!$AB$1:$AB$530, _xlfn.AGGREGATE(15,6,ROW($1:$345)/(ISNUMBER(SEARCH('[1]Dettaglio pacchetti'!$AB$1:$AB$530,$C120))),1)) &amp; "*",
        '[1]Dettaglio pacchetti'!$A$1:$I$530,
        6,
        FALSE
    ),
    IFERROR(VLOOKUP($C120, '[1]Dettaglio pacchetti'!$A$1:$I$530, 6, FALSE), "")
)</f>
        <v/>
      </c>
    </row>
    <row r="121" spans="3:30" hidden="1" x14ac:dyDescent="0.3">
      <c r="C121" s="22"/>
      <c r="D121" s="20" t="str" cm="1">
        <f t="array" ref="D121">IFERROR(
    _xlfn.LET(
        _xlpm.risultato,
        IFERROR(
            _xlfn.XLOOKUP(TRIM(UPPER(G121)),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pacchetti'!$E$1:$E$530))=TRIM(UPPER(G121)),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121" s="14" t="str" cm="1">
        <f t="array" ref="E121">IF(TRIM($B121)="SG-ANAGRAFE", "Bugni Batte",
    IF(TRIM($B121)="DW01A", "Cauda",
        IFERROR(
            VLOOKUP(
                INDEX('[1]Dettaglio pacchetti'!$AB$1:$AB$530,
                    _xlfn.AGGREGATE(15, 6,
                        (ROW($1:$345))/(ISNUMBER(SEARCH('[1]Dettaglio pacchetti'!$AB$1:$AB$530, $C121))),
                        1)
                ) &amp; "*",
                '[1]Dettaglio pacchetti'!$A$1:$I$530,
                3,
                FALSE
            ),
            IFERROR(VLOOKUP($C121, '[1]Dettaglio pacchetti'!$A$1:$I$530, 3, FALSE), "")
        )
    )
)</f>
        <v/>
      </c>
      <c r="F121" s="14" t="str" cm="1">
        <f t="array" ref="F121">IF(TRIM($B121)="DW01A", "ETL - EDW Estrattori",
    IFERROR(
        VLOOKUP(
            INDEX('[1]Dettaglio pacchetti'!$AB$1:$AB$530,
                _xlfn.AGGREGATE(15, 6,
                    (ROW($1:$345))/(ISNUMBER(SEARCH('[1]Dettaglio pacchetti'!$AB$1:$AB$530, $C121))),
                    1)
            ) &amp; "*",
            '[1]Dettaglio pacchetti'!$A$1:$I$530,
            4,
            FALSE
        ),
        IFERROR(VLOOKUP($C121, '[1]Dettaglio pacchetti'!$A$1:$I$530, 4, FALSE), "")
    )
)</f>
        <v/>
      </c>
      <c r="G121" s="14" t="str" cm="1">
        <f t="array" ref="G121">IF(TRIM($B121)="DW01A", "ETL - EDW Estrattori",
    IF(TRIM($B121)="SG-ANAGRAFE", "SIGEA Anagrafe",
        IFERROR(
            VLOOKUP(
                INDEX('[1]Dettaglio pacchetti'!$AB$1:$AB$530,
                    _xlfn.AGGREGATE(15, 6,
                        (ROW($1:$345))/(ISNUMBER(SEARCH('[1]Dettaglio pacchetti'!$AB$1:$AB$530, $C121))),
                        1)
                ) &amp; "*",
                '[1]Dettaglio pacchetti'!$A$1:$I$530,
                5,
                FALSE
            ),
            IFERROR(VLOOKUP($C121, '[1]Dettaglio pacchetti'!$A$1:$I$530, 5, FALSE), "")
        )
    )
)</f>
        <v/>
      </c>
      <c r="H121" s="14" t="str" cm="1">
        <f t="array" ref="H121">IFERROR(
    VLOOKUP(
        INDEX('[1]Dettaglio pacchetti'!$AB$1:$AB$530,
            _xlfn.AGGREGATE(15, 6,
                (ROW($1:$345))/(ISNUMBER(SEARCH('[1]Dettaglio pacchetti'!$AB$1:$AB$530, $C121))),
                1)
        ) &amp; "*",
        '[1]Dettaglio pacchetti'!$A$1:$I$530,
        6,
        FALSE
    ),
    IFERROR(VLOOKUP($C121, '[1]Dettaglio pacchetti'!$A$1:$I$530, 6, FALSE), "")
)</f>
        <v/>
      </c>
      <c r="I121" s="7" t="str">
        <f t="shared" si="6"/>
        <v/>
      </c>
      <c r="J121" t="str">
        <f t="shared" si="7"/>
        <v/>
      </c>
      <c r="K121" t="str">
        <f t="shared" si="8"/>
        <v/>
      </c>
      <c r="L121" s="14" t="str" cm="1">
        <f t="array" ref="L121">IFERROR(
    VLOOKUP(
        INDEX('[1]Dettaglio pacchetti'!$AB$1:$AB$530,
            _xlfn.AGGREGATE(15, 6,
                ROW($1:$345)/(ISNUMBER(SEARCH('[1]Dettaglio pacchetti'!$AB$1:$AB$530, $C121))),
                1)
        ) &amp; "*",
        '[1]Dettaglio pacchetti'!$A$1:$I$530,
        8,
        FALSE
    ),
    IFERROR(VLOOKUP($C121, '[1]Dettaglio pacchetti'!$A$1:$I$530, 8, FALSE), "")
)</f>
        <v/>
      </c>
      <c r="M121" s="14" t="str" cm="1">
        <f t="array" ref="M121">IFERROR(
    VLOOKUP(
        INDEX('[1]Dettaglio pacchetti'!$AB$1:$AB$530,
            _xlfn.AGGREGATE(15, 6,
                ROW($1:$345)/(ISNUMBER(SEARCH('[1]Dettaglio pacchetti'!$AB$1:$AB$530, $C121))),
                1)
        ) &amp; "*",
        '[1]Dettaglio pacchetti'!$A$1:$I$530,
        9,
        FALSE
    ),
    IFERROR(VLOOKUP($C121, '[1]Dettaglio pacchetti'!$A$1:$I$530, 9, FALSE), "")
)</f>
        <v/>
      </c>
      <c r="N121" s="7"/>
      <c r="P121" s="6"/>
      <c r="AA121" t="str" cm="1">
        <f t="array" ref="AA121">IFERROR(VLOOKUP(INDEX('[1]Dettaglio pacchetti'!$AB$1:$AB$530, _xlfn.AGGREGATE(15, 6, (ROW($1:$345))/(ISNUMBER(SEARCH('[1]Dettaglio pacchetti'!$AB$1:$AB$530, $C121))), 1)) &amp; "*", '[1]Dettaglio pacchetti'!$A$1:$N$530, 13, FALSE) &amp; "", "")</f>
        <v/>
      </c>
      <c r="AB121" t="str" cm="1">
        <f t="array" ref="AB121">IF(ISNUMBER(SEARCH("dev.azure.com", AA121)), IFERROR(VLOOKUP(INDEX('[1]Dettaglio pacchetti'!$AB$1:$AB$530, _xlfn.AGGREGATE(15, 6, (ROW($1:$345))/(ISNUMBER(SEARCH('[1]Dettaglio pacchetti'!$AB$1:$AB$530, $C121))), 1)) &amp; "*", '[1]Dettaglio pacchetti'!$A$1:$N$530, 1, FALSE) &amp; "", ""), "")</f>
        <v/>
      </c>
      <c r="AC121" t="str" cm="1">
        <f t="array" ref="AC121">IFERROR(
    VLOOKUP(
        INDEX('[1]Dettaglio pacchetti'!$AB$1:$AB$530, _xlfn.AGGREGATE(15,6,ROW($1:$345)/(ISNUMBER(SEARCH('[1]Dettaglio pacchetti'!$AB$1:$AB$530,$C121))),1)) &amp; "*",
        '[1]Dettaglio pacchetti'!$A$1:$I$530,
        7,
        FALSE
    ),
    IFERROR(VLOOKUP($C121, '[1]Dettaglio pacchetti'!$A$1:$I$530, 7, FALSE), "")
)</f>
        <v/>
      </c>
      <c r="AD121" t="str" cm="1">
        <f t="array" ref="AD121">IFERROR(
    VLOOKUP(
        INDEX('[1]Dettaglio pacchetti'!$AB$1:$AB$530, _xlfn.AGGREGATE(15,6,ROW($1:$345)/(ISNUMBER(SEARCH('[1]Dettaglio pacchetti'!$AB$1:$AB$530,$C121))),1)) &amp; "*",
        '[1]Dettaglio pacchetti'!$A$1:$I$530,
        6,
        FALSE
    ),
    IFERROR(VLOOKUP($C121, '[1]Dettaglio pacchetti'!$A$1:$I$530, 6, FALSE), "")
)</f>
        <v/>
      </c>
    </row>
    <row r="122" spans="3:30" hidden="1" x14ac:dyDescent="0.3">
      <c r="C122" s="22"/>
      <c r="D122" s="20" t="str" cm="1">
        <f t="array" ref="D122">IFERROR(
    _xlfn.LET(
        _xlpm.risultato,
        IFERROR(
            _xlfn.XLOOKUP(TRIM(UPPER(G122)),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pacchetti'!$E$1:$E$530))=TRIM(UPPER(G122)),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122" s="14" t="str" cm="1">
        <f t="array" ref="E122">IF(TRIM($B122)="SG-ANAGRAFE", "Bugni Batte",
    IF(TRIM($B122)="DW01A", "Cauda",
        IFERROR(
            VLOOKUP(
                INDEX('[1]Dettaglio pacchetti'!$AB$1:$AB$530,
                    _xlfn.AGGREGATE(15, 6,
                        (ROW($1:$345))/(ISNUMBER(SEARCH('[1]Dettaglio pacchetti'!$AB$1:$AB$530, $C122))),
                        1)
                ) &amp; "*",
                '[1]Dettaglio pacchetti'!$A$1:$I$530,
                3,
                FALSE
            ),
            IFERROR(VLOOKUP($C122, '[1]Dettaglio pacchetti'!$A$1:$I$530, 3, FALSE), "")
        )
    )
)</f>
        <v/>
      </c>
      <c r="F122" s="14" t="str" cm="1">
        <f t="array" ref="F122">IF(TRIM($B122)="DW01A", "ETL - EDW Estrattori",
    IFERROR(
        VLOOKUP(
            INDEX('[1]Dettaglio pacchetti'!$AB$1:$AB$530,
                _xlfn.AGGREGATE(15, 6,
                    (ROW($1:$345))/(ISNUMBER(SEARCH('[1]Dettaglio pacchetti'!$AB$1:$AB$530, $C122))),
                    1)
            ) &amp; "*",
            '[1]Dettaglio pacchetti'!$A$1:$I$530,
            4,
            FALSE
        ),
        IFERROR(VLOOKUP($C122, '[1]Dettaglio pacchetti'!$A$1:$I$530, 4, FALSE), "")
    )
)</f>
        <v/>
      </c>
      <c r="G122" s="14" t="str" cm="1">
        <f t="array" ref="G122">IF(TRIM($B122)="DW01A", "ETL - EDW Estrattori",
    IF(TRIM($B122)="SG-ANAGRAFE", "SIGEA Anagrafe",
        IFERROR(
            VLOOKUP(
                INDEX('[1]Dettaglio pacchetti'!$AB$1:$AB$530,
                    _xlfn.AGGREGATE(15, 6,
                        (ROW($1:$345))/(ISNUMBER(SEARCH('[1]Dettaglio pacchetti'!$AB$1:$AB$530, $C122))),
                        1)
                ) &amp; "*",
                '[1]Dettaglio pacchetti'!$A$1:$I$530,
                5,
                FALSE
            ),
            IFERROR(VLOOKUP($C122, '[1]Dettaglio pacchetti'!$A$1:$I$530, 5, FALSE), "")
        )
    )
)</f>
        <v/>
      </c>
      <c r="H122" s="14" t="str" cm="1">
        <f t="array" ref="H122">IFERROR(
    VLOOKUP(
        INDEX('[1]Dettaglio pacchetti'!$AB$1:$AB$530,
            _xlfn.AGGREGATE(15, 6,
                (ROW($1:$345))/(ISNUMBER(SEARCH('[1]Dettaglio pacchetti'!$AB$1:$AB$530, $C122))),
                1)
        ) &amp; "*",
        '[1]Dettaglio pacchetti'!$A$1:$I$530,
        6,
        FALSE
    ),
    IFERROR(VLOOKUP($C122, '[1]Dettaglio pacchetti'!$A$1:$I$530, 6, FALSE), "")
)</f>
        <v/>
      </c>
      <c r="I122" s="7" t="str">
        <f t="shared" ref="I122:I153" si="9">IF(OR(AA122="", AB122=""), "", HYPERLINK(AA122, AB122))</f>
        <v/>
      </c>
      <c r="J122" t="str">
        <f t="shared" si="7"/>
        <v/>
      </c>
      <c r="K122" t="str">
        <f t="shared" si="8"/>
        <v/>
      </c>
      <c r="L122" s="14" t="str" cm="1">
        <f t="array" ref="L122">IFERROR(
    VLOOKUP(
        INDEX('[1]Dettaglio pacchetti'!$AB$1:$AB$530,
            _xlfn.AGGREGATE(15, 6,
                ROW($1:$345)/(ISNUMBER(SEARCH('[1]Dettaglio pacchetti'!$AB$1:$AB$530, $C122))),
                1)
        ) &amp; "*",
        '[1]Dettaglio pacchetti'!$A$1:$I$530,
        8,
        FALSE
    ),
    IFERROR(VLOOKUP($C122, '[1]Dettaglio pacchetti'!$A$1:$I$530, 8, FALSE), "")
)</f>
        <v/>
      </c>
      <c r="M122" s="14" t="str" cm="1">
        <f t="array" ref="M122">IFERROR(
    VLOOKUP(
        INDEX('[1]Dettaglio pacchetti'!$AB$1:$AB$530,
            _xlfn.AGGREGATE(15, 6,
                ROW($1:$345)/(ISNUMBER(SEARCH('[1]Dettaglio pacchetti'!$AB$1:$AB$530, $C122))),
                1)
        ) &amp; "*",
        '[1]Dettaglio pacchetti'!$A$1:$I$530,
        9,
        FALSE
    ),
    IFERROR(VLOOKUP($C122, '[1]Dettaglio pacchetti'!$A$1:$I$530, 9, FALSE), "")
)</f>
        <v/>
      </c>
      <c r="N122" s="7"/>
      <c r="P122" s="6"/>
      <c r="AA122" t="str" cm="1">
        <f t="array" ref="AA122">IFERROR(VLOOKUP(INDEX('[1]Dettaglio pacchetti'!$AB$1:$AB$530, _xlfn.AGGREGATE(15, 6, (ROW($1:$345))/(ISNUMBER(SEARCH('[1]Dettaglio pacchetti'!$AB$1:$AB$530, $C122))), 1)) &amp; "*", '[1]Dettaglio pacchetti'!$A$1:$N$530, 13, FALSE) &amp; "", "")</f>
        <v/>
      </c>
      <c r="AB122" t="str" cm="1">
        <f t="array" ref="AB122">IF(ISNUMBER(SEARCH("dev.azure.com", AA122)), IFERROR(VLOOKUP(INDEX('[1]Dettaglio pacchetti'!$AB$1:$AB$530, _xlfn.AGGREGATE(15, 6, (ROW($1:$345))/(ISNUMBER(SEARCH('[1]Dettaglio pacchetti'!$AB$1:$AB$530, $C122))), 1)) &amp; "*", '[1]Dettaglio pacchetti'!$A$1:$N$530, 1, FALSE) &amp; "", ""), "")</f>
        <v/>
      </c>
      <c r="AC122" t="str" cm="1">
        <f t="array" ref="AC122">IFERROR(
    VLOOKUP(
        INDEX('[1]Dettaglio pacchetti'!$AB$1:$AB$530, _xlfn.AGGREGATE(15,6,ROW($1:$345)/(ISNUMBER(SEARCH('[1]Dettaglio pacchetti'!$AB$1:$AB$530,$C122))),1)) &amp; "*",
        '[1]Dettaglio pacchetti'!$A$1:$I$530,
        7,
        FALSE
    ),
    IFERROR(VLOOKUP($C122, '[1]Dettaglio pacchetti'!$A$1:$I$530, 7, FALSE), "")
)</f>
        <v/>
      </c>
      <c r="AD122" t="str" cm="1">
        <f t="array" ref="AD122">IFERROR(
    VLOOKUP(
        INDEX('[1]Dettaglio pacchetti'!$AB$1:$AB$530, _xlfn.AGGREGATE(15,6,ROW($1:$345)/(ISNUMBER(SEARCH('[1]Dettaglio pacchetti'!$AB$1:$AB$530,$C122))),1)) &amp; "*",
        '[1]Dettaglio pacchetti'!$A$1:$I$530,
        6,
        FALSE
    ),
    IFERROR(VLOOKUP($C122, '[1]Dettaglio pacchetti'!$A$1:$I$530, 6, FALSE), "")
)</f>
        <v/>
      </c>
    </row>
    <row r="123" spans="3:30" hidden="1" x14ac:dyDescent="0.3">
      <c r="C123" s="22"/>
      <c r="D123" s="20" t="str" cm="1">
        <f t="array" ref="D123">IFERROR(
    _xlfn.LET(
        _xlpm.risultato,
        IFERROR(
            _xlfn.XLOOKUP(TRIM(UPPER(G123)),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pacchetti'!$E$1:$E$530))=TRIM(UPPER(G123)),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123" s="14" t="str" cm="1">
        <f t="array" ref="E123">IF(TRIM($B123)="SG-ANAGRAFE", "Bugni Batte",
    IF(TRIM($B123)="DW01A", "Cauda",
        IFERROR(
            VLOOKUP(
                INDEX('[1]Dettaglio pacchetti'!$AB$1:$AB$530,
                    _xlfn.AGGREGATE(15, 6,
                        (ROW($1:$345))/(ISNUMBER(SEARCH('[1]Dettaglio pacchetti'!$AB$1:$AB$530, $C123))),
                        1)
                ) &amp; "*",
                '[1]Dettaglio pacchetti'!$A$1:$I$530,
                3,
                FALSE
            ),
            IFERROR(VLOOKUP($C123, '[1]Dettaglio pacchetti'!$A$1:$I$530, 3, FALSE), "")
        )
    )
)</f>
        <v/>
      </c>
      <c r="F123" s="14" t="str" cm="1">
        <f t="array" ref="F123">IF(TRIM($B123)="DW01A", "ETL - EDW Estrattori",
    IFERROR(
        VLOOKUP(
            INDEX('[1]Dettaglio pacchetti'!$AB$1:$AB$530,
                _xlfn.AGGREGATE(15, 6,
                    (ROW($1:$345))/(ISNUMBER(SEARCH('[1]Dettaglio pacchetti'!$AB$1:$AB$530, $C123))),
                    1)
            ) &amp; "*",
            '[1]Dettaglio pacchetti'!$A$1:$I$530,
            4,
            FALSE
        ),
        IFERROR(VLOOKUP($C123, '[1]Dettaglio pacchetti'!$A$1:$I$530, 4, FALSE), "")
    )
)</f>
        <v/>
      </c>
      <c r="G123" s="14" t="str" cm="1">
        <f t="array" ref="G123">IF(TRIM($B123)="DW01A", "ETL - EDW Estrattori",
    IF(TRIM($B123)="SG-ANAGRAFE", "SIGEA Anagrafe",
        IFERROR(
            VLOOKUP(
                INDEX('[1]Dettaglio pacchetti'!$AB$1:$AB$530,
                    _xlfn.AGGREGATE(15, 6,
                        (ROW($1:$345))/(ISNUMBER(SEARCH('[1]Dettaglio pacchetti'!$AB$1:$AB$530, $C123))),
                        1)
                ) &amp; "*",
                '[1]Dettaglio pacchetti'!$A$1:$I$530,
                5,
                FALSE
            ),
            IFERROR(VLOOKUP($C123, '[1]Dettaglio pacchetti'!$A$1:$I$530, 5, FALSE), "")
        )
    )
)</f>
        <v/>
      </c>
      <c r="H123" s="14" t="str" cm="1">
        <f t="array" ref="H123">IFERROR(
    VLOOKUP(
        INDEX('[1]Dettaglio pacchetti'!$AB$1:$AB$530,
            _xlfn.AGGREGATE(15, 6,
                (ROW($1:$345))/(ISNUMBER(SEARCH('[1]Dettaglio pacchetti'!$AB$1:$AB$530, $C123))),
                1)
        ) &amp; "*",
        '[1]Dettaglio pacchetti'!$A$1:$I$530,
        6,
        FALSE
    ),
    IFERROR(VLOOKUP($C123, '[1]Dettaglio pacchetti'!$A$1:$I$530, 6, FALSE), "")
)</f>
        <v/>
      </c>
      <c r="I123" s="7" t="str">
        <f t="shared" si="9"/>
        <v/>
      </c>
      <c r="J123" t="str">
        <f t="shared" si="7"/>
        <v/>
      </c>
      <c r="K123" t="str">
        <f t="shared" si="8"/>
        <v/>
      </c>
      <c r="L123" s="14" t="str" cm="1">
        <f t="array" ref="L123">IFERROR(
    VLOOKUP(
        INDEX('[1]Dettaglio pacchetti'!$AB$1:$AB$530,
            _xlfn.AGGREGATE(15, 6,
                ROW($1:$345)/(ISNUMBER(SEARCH('[1]Dettaglio pacchetti'!$AB$1:$AB$530, $C123))),
                1)
        ) &amp; "*",
        '[1]Dettaglio pacchetti'!$A$1:$I$530,
        8,
        FALSE
    ),
    IFERROR(VLOOKUP($C123, '[1]Dettaglio pacchetti'!$A$1:$I$530, 8, FALSE), "")
)</f>
        <v/>
      </c>
      <c r="M123" s="14" t="str" cm="1">
        <f t="array" ref="M123">IFERROR(
    VLOOKUP(
        INDEX('[1]Dettaglio pacchetti'!$AB$1:$AB$530,
            _xlfn.AGGREGATE(15, 6,
                ROW($1:$345)/(ISNUMBER(SEARCH('[1]Dettaglio pacchetti'!$AB$1:$AB$530, $C123))),
                1)
        ) &amp; "*",
        '[1]Dettaglio pacchetti'!$A$1:$I$530,
        9,
        FALSE
    ),
    IFERROR(VLOOKUP($C123, '[1]Dettaglio pacchetti'!$A$1:$I$530, 9, FALSE), "")
)</f>
        <v/>
      </c>
      <c r="N123" s="7"/>
      <c r="P123" s="6"/>
      <c r="AA123" t="str" cm="1">
        <f t="array" ref="AA123">IFERROR(VLOOKUP(INDEX('[1]Dettaglio pacchetti'!$AB$1:$AB$530, _xlfn.AGGREGATE(15, 6, (ROW($1:$345))/(ISNUMBER(SEARCH('[1]Dettaglio pacchetti'!$AB$1:$AB$530, $C123))), 1)) &amp; "*", '[1]Dettaglio pacchetti'!$A$1:$N$530, 13, FALSE) &amp; "", "")</f>
        <v/>
      </c>
      <c r="AB123" t="str" cm="1">
        <f t="array" ref="AB123">IF(ISNUMBER(SEARCH("dev.azure.com", AA123)), IFERROR(VLOOKUP(INDEX('[1]Dettaglio pacchetti'!$AB$1:$AB$530, _xlfn.AGGREGATE(15, 6, (ROW($1:$345))/(ISNUMBER(SEARCH('[1]Dettaglio pacchetti'!$AB$1:$AB$530, $C123))), 1)) &amp; "*", '[1]Dettaglio pacchetti'!$A$1:$N$530, 1, FALSE) &amp; "", ""), "")</f>
        <v/>
      </c>
      <c r="AC123" t="str" cm="1">
        <f t="array" ref="AC123">IFERROR(
    VLOOKUP(
        INDEX('[1]Dettaglio pacchetti'!$AB$1:$AB$530, _xlfn.AGGREGATE(15,6,ROW($1:$345)/(ISNUMBER(SEARCH('[1]Dettaglio pacchetti'!$AB$1:$AB$530,$C123))),1)) &amp; "*",
        '[1]Dettaglio pacchetti'!$A$1:$I$530,
        7,
        FALSE
    ),
    IFERROR(VLOOKUP($C123, '[1]Dettaglio pacchetti'!$A$1:$I$530, 7, FALSE), "")
)</f>
        <v/>
      </c>
      <c r="AD123" t="str" cm="1">
        <f t="array" ref="AD123">IFERROR(
    VLOOKUP(
        INDEX('[1]Dettaglio pacchetti'!$AB$1:$AB$530, _xlfn.AGGREGATE(15,6,ROW($1:$345)/(ISNUMBER(SEARCH('[1]Dettaglio pacchetti'!$AB$1:$AB$530,$C123))),1)) &amp; "*",
        '[1]Dettaglio pacchetti'!$A$1:$I$530,
        6,
        FALSE
    ),
    IFERROR(VLOOKUP($C123, '[1]Dettaglio pacchetti'!$A$1:$I$530, 6, FALSE), "")
)</f>
        <v/>
      </c>
    </row>
    <row r="124" spans="3:30" hidden="1" x14ac:dyDescent="0.3">
      <c r="C124" s="22"/>
      <c r="D124" s="20" t="str" cm="1">
        <f t="array" ref="D124">IFERROR(
    _xlfn.LET(
        _xlpm.risultato,
        IFERROR(
            _xlfn.XLOOKUP(TRIM(UPPER(G124)),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pacchetti'!$E$1:$E$530))=TRIM(UPPER(G124)),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124" s="14" t="str" cm="1">
        <f t="array" ref="E124">IF(TRIM($B124)="SG-ANAGRAFE", "Bugni Batte",
    IF(TRIM($B124)="DW01A", "Cauda",
        IFERROR(
            VLOOKUP(
                INDEX('[1]Dettaglio pacchetti'!$AB$1:$AB$530,
                    _xlfn.AGGREGATE(15, 6,
                        (ROW($1:$345))/(ISNUMBER(SEARCH('[1]Dettaglio pacchetti'!$AB$1:$AB$530, $C124))),
                        1)
                ) &amp; "*",
                '[1]Dettaglio pacchetti'!$A$1:$I$530,
                3,
                FALSE
            ),
            IFERROR(VLOOKUP($C124, '[1]Dettaglio pacchetti'!$A$1:$I$530, 3, FALSE), "")
        )
    )
)</f>
        <v/>
      </c>
      <c r="F124" s="14" t="str" cm="1">
        <f t="array" ref="F124">IF(TRIM($B124)="DW01A", "ETL - EDW Estrattori",
    IFERROR(
        VLOOKUP(
            INDEX('[1]Dettaglio pacchetti'!$AB$1:$AB$530,
                _xlfn.AGGREGATE(15, 6,
                    (ROW($1:$345))/(ISNUMBER(SEARCH('[1]Dettaglio pacchetti'!$AB$1:$AB$530, $C124))),
                    1)
            ) &amp; "*",
            '[1]Dettaglio pacchetti'!$A$1:$I$530,
            4,
            FALSE
        ),
        IFERROR(VLOOKUP($C124, '[1]Dettaglio pacchetti'!$A$1:$I$530, 4, FALSE), "")
    )
)</f>
        <v/>
      </c>
      <c r="G124" s="14" t="str" cm="1">
        <f t="array" ref="G124">IF(TRIM($B124)="DW01A", "ETL - EDW Estrattori",
    IF(TRIM($B124)="SG-ANAGRAFE", "SIGEA Anagrafe",
        IFERROR(
            VLOOKUP(
                INDEX('[1]Dettaglio pacchetti'!$AB$1:$AB$530,
                    _xlfn.AGGREGATE(15, 6,
                        (ROW($1:$345))/(ISNUMBER(SEARCH('[1]Dettaglio pacchetti'!$AB$1:$AB$530, $C124))),
                        1)
                ) &amp; "*",
                '[1]Dettaglio pacchetti'!$A$1:$I$530,
                5,
                FALSE
            ),
            IFERROR(VLOOKUP($C124, '[1]Dettaglio pacchetti'!$A$1:$I$530, 5, FALSE), "")
        )
    )
)</f>
        <v/>
      </c>
      <c r="H124" s="14" t="str" cm="1">
        <f t="array" ref="H124">IFERROR(
    VLOOKUP(
        INDEX('[1]Dettaglio pacchetti'!$AB$1:$AB$530,
            _xlfn.AGGREGATE(15, 6,
                (ROW($1:$345))/(ISNUMBER(SEARCH('[1]Dettaglio pacchetti'!$AB$1:$AB$530, $C124))),
                1)
        ) &amp; "*",
        '[1]Dettaglio pacchetti'!$A$1:$I$530,
        6,
        FALSE
    ),
    IFERROR(VLOOKUP($C124, '[1]Dettaglio pacchetti'!$A$1:$I$530, 6, FALSE), "")
)</f>
        <v/>
      </c>
      <c r="I124" s="7" t="str">
        <f t="shared" si="9"/>
        <v/>
      </c>
      <c r="J124" t="str">
        <f t="shared" si="7"/>
        <v/>
      </c>
      <c r="K124" t="str">
        <f t="shared" si="8"/>
        <v/>
      </c>
      <c r="L124" s="14" t="str" cm="1">
        <f t="array" ref="L124">IFERROR(
    VLOOKUP(
        INDEX('[1]Dettaglio pacchetti'!$AB$1:$AB$530,
            _xlfn.AGGREGATE(15, 6,
                ROW($1:$345)/(ISNUMBER(SEARCH('[1]Dettaglio pacchetti'!$AB$1:$AB$530, $C124))),
                1)
        ) &amp; "*",
        '[1]Dettaglio pacchetti'!$A$1:$I$530,
        8,
        FALSE
    ),
    IFERROR(VLOOKUP($C124, '[1]Dettaglio pacchetti'!$A$1:$I$530, 8, FALSE), "")
)</f>
        <v/>
      </c>
      <c r="M124" s="14" t="str" cm="1">
        <f t="array" ref="M124">IFERROR(
    VLOOKUP(
        INDEX('[1]Dettaglio pacchetti'!$AB$1:$AB$530,
            _xlfn.AGGREGATE(15, 6,
                ROW($1:$345)/(ISNUMBER(SEARCH('[1]Dettaglio pacchetti'!$AB$1:$AB$530, $C124))),
                1)
        ) &amp; "*",
        '[1]Dettaglio pacchetti'!$A$1:$I$530,
        9,
        FALSE
    ),
    IFERROR(VLOOKUP($C124, '[1]Dettaglio pacchetti'!$A$1:$I$530, 9, FALSE), "")
)</f>
        <v/>
      </c>
      <c r="N124" s="7"/>
      <c r="P124" s="6"/>
      <c r="AA124" t="str" cm="1">
        <f t="array" ref="AA124">IFERROR(VLOOKUP(INDEX('[1]Dettaglio pacchetti'!$AB$1:$AB$530, _xlfn.AGGREGATE(15, 6, (ROW($1:$345))/(ISNUMBER(SEARCH('[1]Dettaglio pacchetti'!$AB$1:$AB$530, $C124))), 1)) &amp; "*", '[1]Dettaglio pacchetti'!$A$1:$N$530, 13, FALSE) &amp; "", "")</f>
        <v/>
      </c>
      <c r="AB124" t="str" cm="1">
        <f t="array" ref="AB124">IF(ISNUMBER(SEARCH("dev.azure.com", AA124)), IFERROR(VLOOKUP(INDEX('[1]Dettaglio pacchetti'!$AB$1:$AB$530, _xlfn.AGGREGATE(15, 6, (ROW($1:$345))/(ISNUMBER(SEARCH('[1]Dettaglio pacchetti'!$AB$1:$AB$530, $C124))), 1)) &amp; "*", '[1]Dettaglio pacchetti'!$A$1:$N$530, 1, FALSE) &amp; "", ""), "")</f>
        <v/>
      </c>
      <c r="AC124" t="str" cm="1">
        <f t="array" ref="AC124">IFERROR(
    VLOOKUP(
        INDEX('[1]Dettaglio pacchetti'!$AB$1:$AB$530, _xlfn.AGGREGATE(15,6,ROW($1:$345)/(ISNUMBER(SEARCH('[1]Dettaglio pacchetti'!$AB$1:$AB$530,$C124))),1)) &amp; "*",
        '[1]Dettaglio pacchetti'!$A$1:$I$530,
        7,
        FALSE
    ),
    IFERROR(VLOOKUP($C124, '[1]Dettaglio pacchetti'!$A$1:$I$530, 7, FALSE), "")
)</f>
        <v/>
      </c>
      <c r="AD124" t="str" cm="1">
        <f t="array" ref="AD124">IFERROR(
    VLOOKUP(
        INDEX('[1]Dettaglio pacchetti'!$AB$1:$AB$530, _xlfn.AGGREGATE(15,6,ROW($1:$345)/(ISNUMBER(SEARCH('[1]Dettaglio pacchetti'!$AB$1:$AB$530,$C124))),1)) &amp; "*",
        '[1]Dettaglio pacchetti'!$A$1:$I$530,
        6,
        FALSE
    ),
    IFERROR(VLOOKUP($C124, '[1]Dettaglio pacchetti'!$A$1:$I$530, 6, FALSE), "")
)</f>
        <v/>
      </c>
    </row>
    <row r="125" spans="3:30" hidden="1" x14ac:dyDescent="0.3">
      <c r="C125" s="22"/>
      <c r="D125" s="20" t="str" cm="1">
        <f t="array" ref="D125">IFERROR(
    _xlfn.LET(
        _xlpm.risultato,
        IFERROR(
            _xlfn.XLOOKUP(TRIM(UPPER(G125)),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pacchetti'!$E$1:$E$530))=TRIM(UPPER(G125)),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125" s="14" t="str" cm="1">
        <f t="array" ref="E125">IF(TRIM($B125)="SG-ANAGRAFE", "Bugni Batte",
    IF(TRIM($B125)="DW01A", "Cauda",
        IFERROR(
            VLOOKUP(
                INDEX('[1]Dettaglio pacchetti'!$AB$1:$AB$530,
                    _xlfn.AGGREGATE(15, 6,
                        (ROW($1:$345))/(ISNUMBER(SEARCH('[1]Dettaglio pacchetti'!$AB$1:$AB$530, $C125))),
                        1)
                ) &amp; "*",
                '[1]Dettaglio pacchetti'!$A$1:$I$530,
                3,
                FALSE
            ),
            IFERROR(VLOOKUP($C125, '[1]Dettaglio pacchetti'!$A$1:$I$530, 3, FALSE), "")
        )
    )
)</f>
        <v/>
      </c>
      <c r="F125" s="14" t="str" cm="1">
        <f t="array" ref="F125">IF(TRIM($B125)="DW01A", "ETL - EDW Estrattori",
    IFERROR(
        VLOOKUP(
            INDEX('[1]Dettaglio pacchetti'!$AB$1:$AB$530,
                _xlfn.AGGREGATE(15, 6,
                    (ROW($1:$345))/(ISNUMBER(SEARCH('[1]Dettaglio pacchetti'!$AB$1:$AB$530, $C125))),
                    1)
            ) &amp; "*",
            '[1]Dettaglio pacchetti'!$A$1:$I$530,
            4,
            FALSE
        ),
        IFERROR(VLOOKUP($C125, '[1]Dettaglio pacchetti'!$A$1:$I$530, 4, FALSE), "")
    )
)</f>
        <v/>
      </c>
      <c r="G125" s="14" t="str" cm="1">
        <f t="array" ref="G125">IF(TRIM($B125)="DW01A", "ETL - EDW Estrattori",
    IF(TRIM($B125)="SG-ANAGRAFE", "SIGEA Anagrafe",
        IFERROR(
            VLOOKUP(
                INDEX('[1]Dettaglio pacchetti'!$AB$1:$AB$530,
                    _xlfn.AGGREGATE(15, 6,
                        (ROW($1:$345))/(ISNUMBER(SEARCH('[1]Dettaglio pacchetti'!$AB$1:$AB$530, $C125))),
                        1)
                ) &amp; "*",
                '[1]Dettaglio pacchetti'!$A$1:$I$530,
                5,
                FALSE
            ),
            IFERROR(VLOOKUP($C125, '[1]Dettaglio pacchetti'!$A$1:$I$530, 5, FALSE), "")
        )
    )
)</f>
        <v/>
      </c>
      <c r="H125" s="14" t="str" cm="1">
        <f t="array" ref="H125">IFERROR(
    VLOOKUP(
        INDEX('[1]Dettaglio pacchetti'!$AB$1:$AB$530,
            _xlfn.AGGREGATE(15, 6,
                (ROW($1:$345))/(ISNUMBER(SEARCH('[1]Dettaglio pacchetti'!$AB$1:$AB$530, $C125))),
                1)
        ) &amp; "*",
        '[1]Dettaglio pacchetti'!$A$1:$I$530,
        6,
        FALSE
    ),
    IFERROR(VLOOKUP($C125, '[1]Dettaglio pacchetti'!$A$1:$I$530, 6, FALSE), "")
)</f>
        <v/>
      </c>
      <c r="I125" s="7" t="str">
        <f t="shared" si="9"/>
        <v/>
      </c>
      <c r="J125" t="str">
        <f t="shared" si="7"/>
        <v/>
      </c>
      <c r="K125" t="str">
        <f t="shared" si="8"/>
        <v/>
      </c>
      <c r="L125" s="14" t="str" cm="1">
        <f t="array" ref="L125">IFERROR(
    VLOOKUP(
        INDEX('[1]Dettaglio pacchetti'!$AB$1:$AB$530,
            _xlfn.AGGREGATE(15, 6,
                ROW($1:$345)/(ISNUMBER(SEARCH('[1]Dettaglio pacchetti'!$AB$1:$AB$530, $C125))),
                1)
        ) &amp; "*",
        '[1]Dettaglio pacchetti'!$A$1:$I$530,
        8,
        FALSE
    ),
    IFERROR(VLOOKUP($C125, '[1]Dettaglio pacchetti'!$A$1:$I$530, 8, FALSE), "")
)</f>
        <v/>
      </c>
      <c r="M125" s="14" t="str" cm="1">
        <f t="array" ref="M125">IFERROR(
    VLOOKUP(
        INDEX('[1]Dettaglio pacchetti'!$AB$1:$AB$530,
            _xlfn.AGGREGATE(15, 6,
                ROW($1:$345)/(ISNUMBER(SEARCH('[1]Dettaglio pacchetti'!$AB$1:$AB$530, $C125))),
                1)
        ) &amp; "*",
        '[1]Dettaglio pacchetti'!$A$1:$I$530,
        9,
        FALSE
    ),
    IFERROR(VLOOKUP($C125, '[1]Dettaglio pacchetti'!$A$1:$I$530, 9, FALSE), "")
)</f>
        <v/>
      </c>
      <c r="N125" s="7"/>
      <c r="P125" s="6"/>
      <c r="AA125" t="str" cm="1">
        <f t="array" ref="AA125">IFERROR(VLOOKUP(INDEX('[1]Dettaglio pacchetti'!$AB$1:$AB$530, _xlfn.AGGREGATE(15, 6, (ROW($1:$345))/(ISNUMBER(SEARCH('[1]Dettaglio pacchetti'!$AB$1:$AB$530, $C125))), 1)) &amp; "*", '[1]Dettaglio pacchetti'!$A$1:$N$530, 13, FALSE) &amp; "", "")</f>
        <v/>
      </c>
      <c r="AB125" t="str" cm="1">
        <f t="array" ref="AB125">IF(ISNUMBER(SEARCH("dev.azure.com", AA125)), IFERROR(VLOOKUP(INDEX('[1]Dettaglio pacchetti'!$AB$1:$AB$530, _xlfn.AGGREGATE(15, 6, (ROW($1:$345))/(ISNUMBER(SEARCH('[1]Dettaglio pacchetti'!$AB$1:$AB$530, $C125))), 1)) &amp; "*", '[1]Dettaglio pacchetti'!$A$1:$N$530, 1, FALSE) &amp; "", ""), "")</f>
        <v/>
      </c>
      <c r="AC125" t="str" cm="1">
        <f t="array" ref="AC125">IFERROR(
    VLOOKUP(
        INDEX('[1]Dettaglio pacchetti'!$AB$1:$AB$530, _xlfn.AGGREGATE(15,6,ROW($1:$345)/(ISNUMBER(SEARCH('[1]Dettaglio pacchetti'!$AB$1:$AB$530,$C125))),1)) &amp; "*",
        '[1]Dettaglio pacchetti'!$A$1:$I$530,
        7,
        FALSE
    ),
    IFERROR(VLOOKUP($C125, '[1]Dettaglio pacchetti'!$A$1:$I$530, 7, FALSE), "")
)</f>
        <v/>
      </c>
      <c r="AD125" t="str" cm="1">
        <f t="array" ref="AD125">IFERROR(
    VLOOKUP(
        INDEX('[1]Dettaglio pacchetti'!$AB$1:$AB$530, _xlfn.AGGREGATE(15,6,ROW($1:$345)/(ISNUMBER(SEARCH('[1]Dettaglio pacchetti'!$AB$1:$AB$530,$C125))),1)) &amp; "*",
        '[1]Dettaglio pacchetti'!$A$1:$I$530,
        6,
        FALSE
    ),
    IFERROR(VLOOKUP($C125, '[1]Dettaglio pacchetti'!$A$1:$I$530, 6, FALSE), "")
)</f>
        <v/>
      </c>
    </row>
    <row r="126" spans="3:30" hidden="1" x14ac:dyDescent="0.3">
      <c r="C126" s="22"/>
      <c r="D126" s="20" t="str" cm="1">
        <f t="array" ref="D126">IFERROR(
    _xlfn.LET(
        _xlpm.risultato,
        IFERROR(
            _xlfn.XLOOKUP(TRIM(UPPER(G126)),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pacchetti'!$E$1:$E$530))=TRIM(UPPER(G126)),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126" s="14" t="str" cm="1">
        <f t="array" ref="E126">IF(TRIM($B126)="SG-ANAGRAFE", "Bugni Batte",
    IF(TRIM($B126)="DW01A", "Cauda",
        IFERROR(
            VLOOKUP(
                INDEX('[1]Dettaglio pacchetti'!$AB$1:$AB$530,
                    _xlfn.AGGREGATE(15, 6,
                        (ROW($1:$345))/(ISNUMBER(SEARCH('[1]Dettaglio pacchetti'!$AB$1:$AB$530, $C126))),
                        1)
                ) &amp; "*",
                '[1]Dettaglio pacchetti'!$A$1:$I$530,
                3,
                FALSE
            ),
            IFERROR(VLOOKUP($C126, '[1]Dettaglio pacchetti'!$A$1:$I$530, 3, FALSE), "")
        )
    )
)</f>
        <v/>
      </c>
      <c r="F126" s="14" t="str" cm="1">
        <f t="array" ref="F126">IF(TRIM($B126)="DW01A", "ETL - EDW Estrattori",
    IFERROR(
        VLOOKUP(
            INDEX('[1]Dettaglio pacchetti'!$AB$1:$AB$530,
                _xlfn.AGGREGATE(15, 6,
                    (ROW($1:$345))/(ISNUMBER(SEARCH('[1]Dettaglio pacchetti'!$AB$1:$AB$530, $C126))),
                    1)
            ) &amp; "*",
            '[1]Dettaglio pacchetti'!$A$1:$I$530,
            4,
            FALSE
        ),
        IFERROR(VLOOKUP($C126, '[1]Dettaglio pacchetti'!$A$1:$I$530, 4, FALSE), "")
    )
)</f>
        <v/>
      </c>
      <c r="G126" s="14" t="str" cm="1">
        <f t="array" ref="G126">IF(TRIM($B126)="DW01A", "ETL - EDW Estrattori",
    IF(TRIM($B126)="SG-ANAGRAFE", "SIGEA Anagrafe",
        IFERROR(
            VLOOKUP(
                INDEX('[1]Dettaglio pacchetti'!$AB$1:$AB$530,
                    _xlfn.AGGREGATE(15, 6,
                        (ROW($1:$345))/(ISNUMBER(SEARCH('[1]Dettaglio pacchetti'!$AB$1:$AB$530, $C126))),
                        1)
                ) &amp; "*",
                '[1]Dettaglio pacchetti'!$A$1:$I$530,
                5,
                FALSE
            ),
            IFERROR(VLOOKUP($C126, '[1]Dettaglio pacchetti'!$A$1:$I$530, 5, FALSE), "")
        )
    )
)</f>
        <v/>
      </c>
      <c r="H126" s="14" t="str" cm="1">
        <f t="array" ref="H126">IFERROR(
    VLOOKUP(
        INDEX('[1]Dettaglio pacchetti'!$AB$1:$AB$530,
            _xlfn.AGGREGATE(15, 6,
                (ROW($1:$345))/(ISNUMBER(SEARCH('[1]Dettaglio pacchetti'!$AB$1:$AB$530, $C126))),
                1)
        ) &amp; "*",
        '[1]Dettaglio pacchetti'!$A$1:$I$530,
        6,
        FALSE
    ),
    IFERROR(VLOOKUP($C126, '[1]Dettaglio pacchetti'!$A$1:$I$530, 6, FALSE), "")
)</f>
        <v/>
      </c>
      <c r="I126" s="7" t="str">
        <f t="shared" si="9"/>
        <v/>
      </c>
      <c r="J126" t="str">
        <f t="shared" si="7"/>
        <v/>
      </c>
      <c r="K126" t="str">
        <f t="shared" si="8"/>
        <v/>
      </c>
      <c r="L126" s="14" t="str" cm="1">
        <f t="array" ref="L126">IFERROR(
    VLOOKUP(
        INDEX('[1]Dettaglio pacchetti'!$AB$1:$AB$530,
            _xlfn.AGGREGATE(15, 6,
                ROW($1:$345)/(ISNUMBER(SEARCH('[1]Dettaglio pacchetti'!$AB$1:$AB$530, $C126))),
                1)
        ) &amp; "*",
        '[1]Dettaglio pacchetti'!$A$1:$I$530,
        8,
        FALSE
    ),
    IFERROR(VLOOKUP($C126, '[1]Dettaglio pacchetti'!$A$1:$I$530, 8, FALSE), "")
)</f>
        <v/>
      </c>
      <c r="M126" s="14" t="str" cm="1">
        <f t="array" ref="M126">IFERROR(
    VLOOKUP(
        INDEX('[1]Dettaglio pacchetti'!$AB$1:$AB$530,
            _xlfn.AGGREGATE(15, 6,
                ROW($1:$345)/(ISNUMBER(SEARCH('[1]Dettaglio pacchetti'!$AB$1:$AB$530, $C126))),
                1)
        ) &amp; "*",
        '[1]Dettaglio pacchetti'!$A$1:$I$530,
        9,
        FALSE
    ),
    IFERROR(VLOOKUP($C126, '[1]Dettaglio pacchetti'!$A$1:$I$530, 9, FALSE), "")
)</f>
        <v/>
      </c>
      <c r="N126" s="7"/>
      <c r="P126" s="6"/>
      <c r="AA126" t="str" cm="1">
        <f t="array" ref="AA126">IFERROR(VLOOKUP(INDEX('[1]Dettaglio pacchetti'!$AB$1:$AB$530, _xlfn.AGGREGATE(15, 6, (ROW($1:$345))/(ISNUMBER(SEARCH('[1]Dettaglio pacchetti'!$AB$1:$AB$530, $C126))), 1)) &amp; "*", '[1]Dettaglio pacchetti'!$A$1:$N$530, 13, FALSE) &amp; "", "")</f>
        <v/>
      </c>
      <c r="AB126" t="str" cm="1">
        <f t="array" ref="AB126">IF(ISNUMBER(SEARCH("dev.azure.com", AA126)), IFERROR(VLOOKUP(INDEX('[1]Dettaglio pacchetti'!$AB$1:$AB$530, _xlfn.AGGREGATE(15, 6, (ROW($1:$345))/(ISNUMBER(SEARCH('[1]Dettaglio pacchetti'!$AB$1:$AB$530, $C126))), 1)) &amp; "*", '[1]Dettaglio pacchetti'!$A$1:$N$530, 1, FALSE) &amp; "", ""), "")</f>
        <v/>
      </c>
      <c r="AC126" t="str" cm="1">
        <f t="array" ref="AC126">IFERROR(
    VLOOKUP(
        INDEX('[1]Dettaglio pacchetti'!$AB$1:$AB$530, _xlfn.AGGREGATE(15,6,ROW($1:$345)/(ISNUMBER(SEARCH('[1]Dettaglio pacchetti'!$AB$1:$AB$530,$C126))),1)) &amp; "*",
        '[1]Dettaglio pacchetti'!$A$1:$I$530,
        7,
        FALSE
    ),
    IFERROR(VLOOKUP($C126, '[1]Dettaglio pacchetti'!$A$1:$I$530, 7, FALSE), "")
)</f>
        <v/>
      </c>
      <c r="AD126" t="str" cm="1">
        <f t="array" ref="AD126">IFERROR(
    VLOOKUP(
        INDEX('[1]Dettaglio pacchetti'!$AB$1:$AB$530, _xlfn.AGGREGATE(15,6,ROW($1:$345)/(ISNUMBER(SEARCH('[1]Dettaglio pacchetti'!$AB$1:$AB$530,$C126))),1)) &amp; "*",
        '[1]Dettaglio pacchetti'!$A$1:$I$530,
        6,
        FALSE
    ),
    IFERROR(VLOOKUP($C126, '[1]Dettaglio pacchetti'!$A$1:$I$530, 6, FALSE), "")
)</f>
        <v/>
      </c>
    </row>
    <row r="127" spans="3:30" hidden="1" x14ac:dyDescent="0.3">
      <c r="C127" s="22"/>
      <c r="D127" s="20" t="str" cm="1">
        <f t="array" ref="D127">IFERROR(
    _xlfn.LET(
        _xlpm.risultato,
        IFERROR(
            _xlfn.XLOOKUP(TRIM(UPPER(G127)),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pacchetti'!$E$1:$E$530))=TRIM(UPPER(G127)),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127" s="14" t="str" cm="1">
        <f t="array" ref="E127">IF(TRIM($B127)="SG-ANAGRAFE", "Bugni Batte",
    IF(TRIM($B127)="DW01A", "Cauda",
        IFERROR(
            VLOOKUP(
                INDEX('[1]Dettaglio pacchetti'!$AB$1:$AB$530,
                    _xlfn.AGGREGATE(15, 6,
                        (ROW($1:$345))/(ISNUMBER(SEARCH('[1]Dettaglio pacchetti'!$AB$1:$AB$530, $C127))),
                        1)
                ) &amp; "*",
                '[1]Dettaglio pacchetti'!$A$1:$I$530,
                3,
                FALSE
            ),
            IFERROR(VLOOKUP($C127, '[1]Dettaglio pacchetti'!$A$1:$I$530, 3, FALSE), "")
        )
    )
)</f>
        <v/>
      </c>
      <c r="F127" s="14" t="str" cm="1">
        <f t="array" ref="F127">IF(TRIM($B127)="DW01A", "ETL - EDW Estrattori",
    IFERROR(
        VLOOKUP(
            INDEX('[1]Dettaglio pacchetti'!$AB$1:$AB$530,
                _xlfn.AGGREGATE(15, 6,
                    (ROW($1:$345))/(ISNUMBER(SEARCH('[1]Dettaglio pacchetti'!$AB$1:$AB$530, $C127))),
                    1)
            ) &amp; "*",
            '[1]Dettaglio pacchetti'!$A$1:$I$530,
            4,
            FALSE
        ),
        IFERROR(VLOOKUP($C127, '[1]Dettaglio pacchetti'!$A$1:$I$530, 4, FALSE), "")
    )
)</f>
        <v/>
      </c>
      <c r="G127" s="14" t="str" cm="1">
        <f t="array" ref="G127">IF(TRIM($B127)="DW01A", "ETL - EDW Estrattori",
    IF(TRIM($B127)="SG-ANAGRAFE", "SIGEA Anagrafe",
        IFERROR(
            VLOOKUP(
                INDEX('[1]Dettaglio pacchetti'!$AB$1:$AB$530,
                    _xlfn.AGGREGATE(15, 6,
                        (ROW($1:$345))/(ISNUMBER(SEARCH('[1]Dettaglio pacchetti'!$AB$1:$AB$530, $C127))),
                        1)
                ) &amp; "*",
                '[1]Dettaglio pacchetti'!$A$1:$I$530,
                5,
                FALSE
            ),
            IFERROR(VLOOKUP($C127, '[1]Dettaglio pacchetti'!$A$1:$I$530, 5, FALSE), "")
        )
    )
)</f>
        <v/>
      </c>
      <c r="H127" s="14" t="str" cm="1">
        <f t="array" ref="H127">IFERROR(
    VLOOKUP(
        INDEX('[1]Dettaglio pacchetti'!$AB$1:$AB$530,
            _xlfn.AGGREGATE(15, 6,
                (ROW($1:$345))/(ISNUMBER(SEARCH('[1]Dettaglio pacchetti'!$AB$1:$AB$530, $C127))),
                1)
        ) &amp; "*",
        '[1]Dettaglio pacchetti'!$A$1:$I$530,
        6,
        FALSE
    ),
    IFERROR(VLOOKUP($C127, '[1]Dettaglio pacchetti'!$A$1:$I$530, 6, FALSE), "")
)</f>
        <v/>
      </c>
      <c r="I127" s="7" t="str">
        <f t="shared" si="9"/>
        <v/>
      </c>
      <c r="J127" t="str">
        <f t="shared" si="7"/>
        <v/>
      </c>
      <c r="K127" t="str">
        <f t="shared" si="8"/>
        <v/>
      </c>
      <c r="L127" s="14" t="str" cm="1">
        <f t="array" ref="L127">IFERROR(
    VLOOKUP(
        INDEX('[1]Dettaglio pacchetti'!$AB$1:$AB$530,
            _xlfn.AGGREGATE(15, 6,
                ROW($1:$345)/(ISNUMBER(SEARCH('[1]Dettaglio pacchetti'!$AB$1:$AB$530, $C127))),
                1)
        ) &amp; "*",
        '[1]Dettaglio pacchetti'!$A$1:$I$530,
        8,
        FALSE
    ),
    IFERROR(VLOOKUP($C127, '[1]Dettaglio pacchetti'!$A$1:$I$530, 8, FALSE), "")
)</f>
        <v/>
      </c>
      <c r="M127" s="14" t="str" cm="1">
        <f t="array" ref="M127">IFERROR(
    VLOOKUP(
        INDEX('[1]Dettaglio pacchetti'!$AB$1:$AB$530,
            _xlfn.AGGREGATE(15, 6,
                ROW($1:$345)/(ISNUMBER(SEARCH('[1]Dettaglio pacchetti'!$AB$1:$AB$530, $C127))),
                1)
        ) &amp; "*",
        '[1]Dettaglio pacchetti'!$A$1:$I$530,
        9,
        FALSE
    ),
    IFERROR(VLOOKUP($C127, '[1]Dettaglio pacchetti'!$A$1:$I$530, 9, FALSE), "")
)</f>
        <v/>
      </c>
      <c r="N127" s="7"/>
      <c r="P127" s="6"/>
      <c r="AA127" t="str" cm="1">
        <f t="array" ref="AA127">IFERROR(VLOOKUP(INDEX('[1]Dettaglio pacchetti'!$AB$1:$AB$530, _xlfn.AGGREGATE(15, 6, (ROW($1:$345))/(ISNUMBER(SEARCH('[1]Dettaglio pacchetti'!$AB$1:$AB$530, $C127))), 1)) &amp; "*", '[1]Dettaglio pacchetti'!$A$1:$N$530, 13, FALSE) &amp; "", "")</f>
        <v/>
      </c>
      <c r="AB127" t="str" cm="1">
        <f t="array" ref="AB127">IF(ISNUMBER(SEARCH("dev.azure.com", AA127)), IFERROR(VLOOKUP(INDEX('[1]Dettaglio pacchetti'!$AB$1:$AB$530, _xlfn.AGGREGATE(15, 6, (ROW($1:$345))/(ISNUMBER(SEARCH('[1]Dettaglio pacchetti'!$AB$1:$AB$530, $C127))), 1)) &amp; "*", '[1]Dettaglio pacchetti'!$A$1:$N$530, 1, FALSE) &amp; "", ""), "")</f>
        <v/>
      </c>
      <c r="AC127" t="str" cm="1">
        <f t="array" ref="AC127">IFERROR(
    VLOOKUP(
        INDEX('[1]Dettaglio pacchetti'!$AB$1:$AB$530, _xlfn.AGGREGATE(15,6,ROW($1:$345)/(ISNUMBER(SEARCH('[1]Dettaglio pacchetti'!$AB$1:$AB$530,$C127))),1)) &amp; "*",
        '[1]Dettaglio pacchetti'!$A$1:$I$530,
        7,
        FALSE
    ),
    IFERROR(VLOOKUP($C127, '[1]Dettaglio pacchetti'!$A$1:$I$530, 7, FALSE), "")
)</f>
        <v/>
      </c>
      <c r="AD127" t="str" cm="1">
        <f t="array" ref="AD127">IFERROR(
    VLOOKUP(
        INDEX('[1]Dettaglio pacchetti'!$AB$1:$AB$530, _xlfn.AGGREGATE(15,6,ROW($1:$345)/(ISNUMBER(SEARCH('[1]Dettaglio pacchetti'!$AB$1:$AB$530,$C127))),1)) &amp; "*",
        '[1]Dettaglio pacchetti'!$A$1:$I$530,
        6,
        FALSE
    ),
    IFERROR(VLOOKUP($C127, '[1]Dettaglio pacchetti'!$A$1:$I$530, 6, FALSE), "")
)</f>
        <v/>
      </c>
    </row>
    <row r="128" spans="3:30" hidden="1" x14ac:dyDescent="0.3">
      <c r="C128" s="22"/>
      <c r="D128" s="20" t="str" cm="1">
        <f t="array" ref="D128">IFERROR(
    _xlfn.LET(
        _xlpm.risultato,
        IFERROR(
            _xlfn.XLOOKUP(TRIM(UPPER(G128)),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pacchetti'!$E$1:$E$530))=TRIM(UPPER(G128)),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128" s="14" t="str" cm="1">
        <f t="array" ref="E128">IF(TRIM($B128)="SG-ANAGRAFE", "Bugni Batte",
    IF(TRIM($B128)="DW01A", "Cauda",
        IFERROR(
            VLOOKUP(
                INDEX('[1]Dettaglio pacchetti'!$AB$1:$AB$530,
                    _xlfn.AGGREGATE(15, 6,
                        (ROW($1:$345))/(ISNUMBER(SEARCH('[1]Dettaglio pacchetti'!$AB$1:$AB$530, $C128))),
                        1)
                ) &amp; "*",
                '[1]Dettaglio pacchetti'!$A$1:$I$530,
                3,
                FALSE
            ),
            IFERROR(VLOOKUP($C128, '[1]Dettaglio pacchetti'!$A$1:$I$530, 3, FALSE), "")
        )
    )
)</f>
        <v/>
      </c>
      <c r="F128" s="14" t="str" cm="1">
        <f t="array" ref="F128">IF(TRIM($B128)="DW01A", "ETL - EDW Estrattori",
    IFERROR(
        VLOOKUP(
            INDEX('[1]Dettaglio pacchetti'!$AB$1:$AB$530,
                _xlfn.AGGREGATE(15, 6,
                    (ROW($1:$345))/(ISNUMBER(SEARCH('[1]Dettaglio pacchetti'!$AB$1:$AB$530, $C128))),
                    1)
            ) &amp; "*",
            '[1]Dettaglio pacchetti'!$A$1:$I$530,
            4,
            FALSE
        ),
        IFERROR(VLOOKUP($C128, '[1]Dettaglio pacchetti'!$A$1:$I$530, 4, FALSE), "")
    )
)</f>
        <v/>
      </c>
      <c r="G128" s="14" t="str" cm="1">
        <f t="array" ref="G128">IF(TRIM($B128)="DW01A", "ETL - EDW Estrattori",
    IF(TRIM($B128)="SG-ANAGRAFE", "SIGEA Anagrafe",
        IFERROR(
            VLOOKUP(
                INDEX('[1]Dettaglio pacchetti'!$AB$1:$AB$530,
                    _xlfn.AGGREGATE(15, 6,
                        (ROW($1:$345))/(ISNUMBER(SEARCH('[1]Dettaglio pacchetti'!$AB$1:$AB$530, $C128))),
                        1)
                ) &amp; "*",
                '[1]Dettaglio pacchetti'!$A$1:$I$530,
                5,
                FALSE
            ),
            IFERROR(VLOOKUP($C128, '[1]Dettaglio pacchetti'!$A$1:$I$530, 5, FALSE), "")
        )
    )
)</f>
        <v/>
      </c>
      <c r="H128" s="14" t="str" cm="1">
        <f t="array" ref="H128">IFERROR(
    VLOOKUP(
        INDEX('[1]Dettaglio pacchetti'!$AB$1:$AB$530,
            _xlfn.AGGREGATE(15, 6,
                (ROW($1:$345))/(ISNUMBER(SEARCH('[1]Dettaglio pacchetti'!$AB$1:$AB$530, $C128))),
                1)
        ) &amp; "*",
        '[1]Dettaglio pacchetti'!$A$1:$I$530,
        6,
        FALSE
    ),
    IFERROR(VLOOKUP($C128, '[1]Dettaglio pacchetti'!$A$1:$I$530, 6, FALSE), "")
)</f>
        <v/>
      </c>
      <c r="I128" s="7" t="str">
        <f t="shared" si="9"/>
        <v/>
      </c>
      <c r="J128" t="str">
        <f t="shared" si="7"/>
        <v/>
      </c>
      <c r="K128" t="str">
        <f t="shared" si="8"/>
        <v/>
      </c>
      <c r="L128" s="14" t="str" cm="1">
        <f t="array" ref="L128">IFERROR(
    VLOOKUP(
        INDEX('[1]Dettaglio pacchetti'!$AB$1:$AB$530,
            _xlfn.AGGREGATE(15, 6,
                ROW($1:$345)/(ISNUMBER(SEARCH('[1]Dettaglio pacchetti'!$AB$1:$AB$530, $C128))),
                1)
        ) &amp; "*",
        '[1]Dettaglio pacchetti'!$A$1:$I$530,
        8,
        FALSE
    ),
    IFERROR(VLOOKUP($C128, '[1]Dettaglio pacchetti'!$A$1:$I$530, 8, FALSE), "")
)</f>
        <v/>
      </c>
      <c r="M128" s="14" t="str" cm="1">
        <f t="array" ref="M128">IFERROR(
    VLOOKUP(
        INDEX('[1]Dettaglio pacchetti'!$AB$1:$AB$530,
            _xlfn.AGGREGATE(15, 6,
                ROW($1:$345)/(ISNUMBER(SEARCH('[1]Dettaglio pacchetti'!$AB$1:$AB$530, $C128))),
                1)
        ) &amp; "*",
        '[1]Dettaglio pacchetti'!$A$1:$I$530,
        9,
        FALSE
    ),
    IFERROR(VLOOKUP($C128, '[1]Dettaglio pacchetti'!$A$1:$I$530, 9, FALSE), "")
)</f>
        <v/>
      </c>
      <c r="N128" s="7"/>
      <c r="P128" s="6"/>
      <c r="AA128" t="str" cm="1">
        <f t="array" ref="AA128">IFERROR(VLOOKUP(INDEX('[1]Dettaglio pacchetti'!$AB$1:$AB$530, _xlfn.AGGREGATE(15, 6, (ROW($1:$345))/(ISNUMBER(SEARCH('[1]Dettaglio pacchetti'!$AB$1:$AB$530, $C128))), 1)) &amp; "*", '[1]Dettaglio pacchetti'!$A$1:$N$530, 13, FALSE) &amp; "", "")</f>
        <v/>
      </c>
      <c r="AB128" t="str" cm="1">
        <f t="array" ref="AB128">IF(ISNUMBER(SEARCH("dev.azure.com", AA128)), IFERROR(VLOOKUP(INDEX('[1]Dettaglio pacchetti'!$AB$1:$AB$530, _xlfn.AGGREGATE(15, 6, (ROW($1:$345))/(ISNUMBER(SEARCH('[1]Dettaglio pacchetti'!$AB$1:$AB$530, $C128))), 1)) &amp; "*", '[1]Dettaglio pacchetti'!$A$1:$N$530, 1, FALSE) &amp; "", ""), "")</f>
        <v/>
      </c>
      <c r="AC128" t="str" cm="1">
        <f t="array" ref="AC128">IFERROR(
    VLOOKUP(
        INDEX('[1]Dettaglio pacchetti'!$AB$1:$AB$530, _xlfn.AGGREGATE(15,6,ROW($1:$345)/(ISNUMBER(SEARCH('[1]Dettaglio pacchetti'!$AB$1:$AB$530,$C128))),1)) &amp; "*",
        '[1]Dettaglio pacchetti'!$A$1:$I$530,
        7,
        FALSE
    ),
    IFERROR(VLOOKUP($C128, '[1]Dettaglio pacchetti'!$A$1:$I$530, 7, FALSE), "")
)</f>
        <v/>
      </c>
      <c r="AD128" t="str" cm="1">
        <f t="array" ref="AD128">IFERROR(
    VLOOKUP(
        INDEX('[1]Dettaglio pacchetti'!$AB$1:$AB$530, _xlfn.AGGREGATE(15,6,ROW($1:$345)/(ISNUMBER(SEARCH('[1]Dettaglio pacchetti'!$AB$1:$AB$530,$C128))),1)) &amp; "*",
        '[1]Dettaglio pacchetti'!$A$1:$I$530,
        6,
        FALSE
    ),
    IFERROR(VLOOKUP($C128, '[1]Dettaglio pacchetti'!$A$1:$I$530, 6, FALSE), "")
)</f>
        <v/>
      </c>
    </row>
    <row r="129" spans="3:30" hidden="1" x14ac:dyDescent="0.3">
      <c r="C129" s="22"/>
      <c r="D129" s="20" t="str" cm="1">
        <f t="array" ref="D129">IFERROR(
    _xlfn.LET(
        _xlpm.risultato,
        IFERROR(
            _xlfn.XLOOKUP(TRIM(UPPER(G129)),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pacchetti'!$E$1:$E$530))=TRIM(UPPER(G129)),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129" s="14" t="str" cm="1">
        <f t="array" ref="E129">IF(TRIM($B129)="SG-ANAGRAFE", "Bugni Batte",
    IF(TRIM($B129)="DW01A", "Cauda",
        IFERROR(
            VLOOKUP(
                INDEX('[1]Dettaglio pacchetti'!$AB$1:$AB$530,
                    _xlfn.AGGREGATE(15, 6,
                        (ROW($1:$345))/(ISNUMBER(SEARCH('[1]Dettaglio pacchetti'!$AB$1:$AB$530, $C129))),
                        1)
                ) &amp; "*",
                '[1]Dettaglio pacchetti'!$A$1:$I$530,
                3,
                FALSE
            ),
            IFERROR(VLOOKUP($C129, '[1]Dettaglio pacchetti'!$A$1:$I$530, 3, FALSE), "")
        )
    )
)</f>
        <v/>
      </c>
      <c r="F129" s="14" t="str" cm="1">
        <f t="array" ref="F129">IF(TRIM($B129)="DW01A", "ETL - EDW Estrattori",
    IFERROR(
        VLOOKUP(
            INDEX('[1]Dettaglio pacchetti'!$AB$1:$AB$530,
                _xlfn.AGGREGATE(15, 6,
                    (ROW($1:$345))/(ISNUMBER(SEARCH('[1]Dettaglio pacchetti'!$AB$1:$AB$530, $C129))),
                    1)
            ) &amp; "*",
            '[1]Dettaglio pacchetti'!$A$1:$I$530,
            4,
            FALSE
        ),
        IFERROR(VLOOKUP($C129, '[1]Dettaglio pacchetti'!$A$1:$I$530, 4, FALSE), "")
    )
)</f>
        <v/>
      </c>
      <c r="G129" s="14" t="str" cm="1">
        <f t="array" ref="G129">IF(TRIM($B129)="DW01A", "ETL - EDW Estrattori",
    IF(TRIM($B129)="SG-ANAGRAFE", "SIGEA Anagrafe",
        IFERROR(
            VLOOKUP(
                INDEX('[1]Dettaglio pacchetti'!$AB$1:$AB$530,
                    _xlfn.AGGREGATE(15, 6,
                        (ROW($1:$345))/(ISNUMBER(SEARCH('[1]Dettaglio pacchetti'!$AB$1:$AB$530, $C129))),
                        1)
                ) &amp; "*",
                '[1]Dettaglio pacchetti'!$A$1:$I$530,
                5,
                FALSE
            ),
            IFERROR(VLOOKUP($C129, '[1]Dettaglio pacchetti'!$A$1:$I$530, 5, FALSE), "")
        )
    )
)</f>
        <v/>
      </c>
      <c r="H129" s="14" t="str" cm="1">
        <f t="array" ref="H129">IFERROR(
    VLOOKUP(
        INDEX('[1]Dettaglio pacchetti'!$AB$1:$AB$530,
            _xlfn.AGGREGATE(15, 6,
                (ROW($1:$345))/(ISNUMBER(SEARCH('[1]Dettaglio pacchetti'!$AB$1:$AB$530, $C129))),
                1)
        ) &amp; "*",
        '[1]Dettaglio pacchetti'!$A$1:$I$530,
        6,
        FALSE
    ),
    IFERROR(VLOOKUP($C129, '[1]Dettaglio pacchetti'!$A$1:$I$530, 6, FALSE), "")
)</f>
        <v/>
      </c>
      <c r="I129" s="7" t="str">
        <f t="shared" si="9"/>
        <v/>
      </c>
      <c r="J129" t="str">
        <f t="shared" si="7"/>
        <v/>
      </c>
      <c r="K129" t="str">
        <f t="shared" si="8"/>
        <v/>
      </c>
      <c r="L129" s="14" t="str" cm="1">
        <f t="array" ref="L129">IFERROR(
    VLOOKUP(
        INDEX('[1]Dettaglio pacchetti'!$AB$1:$AB$530,
            _xlfn.AGGREGATE(15, 6,
                ROW($1:$345)/(ISNUMBER(SEARCH('[1]Dettaglio pacchetti'!$AB$1:$AB$530, $C129))),
                1)
        ) &amp; "*",
        '[1]Dettaglio pacchetti'!$A$1:$I$530,
        8,
        FALSE
    ),
    IFERROR(VLOOKUP($C129, '[1]Dettaglio pacchetti'!$A$1:$I$530, 8, FALSE), "")
)</f>
        <v/>
      </c>
      <c r="M129" s="14" t="str" cm="1">
        <f t="array" ref="M129">IFERROR(
    VLOOKUP(
        INDEX('[1]Dettaglio pacchetti'!$AB$1:$AB$530,
            _xlfn.AGGREGATE(15, 6,
                ROW($1:$345)/(ISNUMBER(SEARCH('[1]Dettaglio pacchetti'!$AB$1:$AB$530, $C129))),
                1)
        ) &amp; "*",
        '[1]Dettaglio pacchetti'!$A$1:$I$530,
        9,
        FALSE
    ),
    IFERROR(VLOOKUP($C129, '[1]Dettaglio pacchetti'!$A$1:$I$530, 9, FALSE), "")
)</f>
        <v/>
      </c>
      <c r="N129" s="7"/>
      <c r="P129" s="6"/>
      <c r="AA129" t="str" cm="1">
        <f t="array" ref="AA129">IFERROR(VLOOKUP(INDEX('[1]Dettaglio pacchetti'!$AB$1:$AB$530, _xlfn.AGGREGATE(15, 6, (ROW($1:$345))/(ISNUMBER(SEARCH('[1]Dettaglio pacchetti'!$AB$1:$AB$530, $C129))), 1)) &amp; "*", '[1]Dettaglio pacchetti'!$A$1:$N$530, 13, FALSE) &amp; "", "")</f>
        <v/>
      </c>
      <c r="AB129" t="str" cm="1">
        <f t="array" ref="AB129">IF(ISNUMBER(SEARCH("dev.azure.com", AA129)), IFERROR(VLOOKUP(INDEX('[1]Dettaglio pacchetti'!$AB$1:$AB$530, _xlfn.AGGREGATE(15, 6, (ROW($1:$345))/(ISNUMBER(SEARCH('[1]Dettaglio pacchetti'!$AB$1:$AB$530, $C129))), 1)) &amp; "*", '[1]Dettaglio pacchetti'!$A$1:$N$530, 1, FALSE) &amp; "", ""), "")</f>
        <v/>
      </c>
      <c r="AC129" t="str" cm="1">
        <f t="array" ref="AC129">IFERROR(
    VLOOKUP(
        INDEX('[1]Dettaglio pacchetti'!$AB$1:$AB$530, _xlfn.AGGREGATE(15,6,ROW($1:$345)/(ISNUMBER(SEARCH('[1]Dettaglio pacchetti'!$AB$1:$AB$530,$C129))),1)) &amp; "*",
        '[1]Dettaglio pacchetti'!$A$1:$I$530,
        7,
        FALSE
    ),
    IFERROR(VLOOKUP($C129, '[1]Dettaglio pacchetti'!$A$1:$I$530, 7, FALSE), "")
)</f>
        <v/>
      </c>
      <c r="AD129" t="str" cm="1">
        <f t="array" ref="AD129">IFERROR(
    VLOOKUP(
        INDEX('[1]Dettaglio pacchetti'!$AB$1:$AB$530, _xlfn.AGGREGATE(15,6,ROW($1:$345)/(ISNUMBER(SEARCH('[1]Dettaglio pacchetti'!$AB$1:$AB$530,$C129))),1)) &amp; "*",
        '[1]Dettaglio pacchetti'!$A$1:$I$530,
        6,
        FALSE
    ),
    IFERROR(VLOOKUP($C129, '[1]Dettaglio pacchetti'!$A$1:$I$530, 6, FALSE), "")
)</f>
        <v/>
      </c>
    </row>
    <row r="130" spans="3:30" hidden="1" x14ac:dyDescent="0.3">
      <c r="C130" s="22"/>
      <c r="D130" s="20" t="str" cm="1">
        <f t="array" ref="D130">IFERROR(
    _xlfn.LET(
        _xlpm.risultato,
        IFERROR(
            _xlfn.XLOOKUP(TRIM(UPPER(G130)),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pacchetti'!$E$1:$E$530))=TRIM(UPPER(G130)),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130" s="14" t="str" cm="1">
        <f t="array" ref="E130">IF(TRIM($B130)="SG-ANAGRAFE", "Bugni Batte",
    IF(TRIM($B130)="DW01A", "Cauda",
        IFERROR(
            VLOOKUP(
                INDEX('[1]Dettaglio pacchetti'!$AB$1:$AB$530,
                    _xlfn.AGGREGATE(15, 6,
                        (ROW($1:$345))/(ISNUMBER(SEARCH('[1]Dettaglio pacchetti'!$AB$1:$AB$530, $C130))),
                        1)
                ) &amp; "*",
                '[1]Dettaglio pacchetti'!$A$1:$I$530,
                3,
                FALSE
            ),
            IFERROR(VLOOKUP($C130, '[1]Dettaglio pacchetti'!$A$1:$I$530, 3, FALSE), "")
        )
    )
)</f>
        <v/>
      </c>
      <c r="F130" s="14" t="str" cm="1">
        <f t="array" ref="F130">IF(TRIM($B130)="DW01A", "ETL - EDW Estrattori",
    IFERROR(
        VLOOKUP(
            INDEX('[1]Dettaglio pacchetti'!$AB$1:$AB$530,
                _xlfn.AGGREGATE(15, 6,
                    (ROW($1:$345))/(ISNUMBER(SEARCH('[1]Dettaglio pacchetti'!$AB$1:$AB$530, $C130))),
                    1)
            ) &amp; "*",
            '[1]Dettaglio pacchetti'!$A$1:$I$530,
            4,
            FALSE
        ),
        IFERROR(VLOOKUP($C130, '[1]Dettaglio pacchetti'!$A$1:$I$530, 4, FALSE), "")
    )
)</f>
        <v/>
      </c>
      <c r="G130" s="14" t="str" cm="1">
        <f t="array" ref="G130">IF(TRIM($B130)="DW01A", "ETL - EDW Estrattori",
    IF(TRIM($B130)="SG-ANAGRAFE", "SIGEA Anagrafe",
        IFERROR(
            VLOOKUP(
                INDEX('[1]Dettaglio pacchetti'!$AB$1:$AB$530,
                    _xlfn.AGGREGATE(15, 6,
                        (ROW($1:$345))/(ISNUMBER(SEARCH('[1]Dettaglio pacchetti'!$AB$1:$AB$530, $C130))),
                        1)
                ) &amp; "*",
                '[1]Dettaglio pacchetti'!$A$1:$I$530,
                5,
                FALSE
            ),
            IFERROR(VLOOKUP($C130, '[1]Dettaglio pacchetti'!$A$1:$I$530, 5, FALSE), "")
        )
    )
)</f>
        <v/>
      </c>
      <c r="H130" s="14" t="str" cm="1">
        <f t="array" ref="H130">IFERROR(
    VLOOKUP(
        INDEX('[1]Dettaglio pacchetti'!$AB$1:$AB$530,
            _xlfn.AGGREGATE(15, 6,
                (ROW($1:$345))/(ISNUMBER(SEARCH('[1]Dettaglio pacchetti'!$AB$1:$AB$530, $C130))),
                1)
        ) &amp; "*",
        '[1]Dettaglio pacchetti'!$A$1:$I$530,
        6,
        FALSE
    ),
    IFERROR(VLOOKUP($C130, '[1]Dettaglio pacchetti'!$A$1:$I$530, 6, FALSE), "")
)</f>
        <v/>
      </c>
      <c r="I130" s="7" t="str">
        <f t="shared" si="9"/>
        <v/>
      </c>
      <c r="J130" t="str">
        <f t="shared" si="7"/>
        <v/>
      </c>
      <c r="K130" t="str">
        <f t="shared" si="8"/>
        <v/>
      </c>
      <c r="L130" s="14" t="str" cm="1">
        <f t="array" ref="L130">IFERROR(
    VLOOKUP(
        INDEX('[1]Dettaglio pacchetti'!$AB$1:$AB$530,
            _xlfn.AGGREGATE(15, 6,
                ROW($1:$345)/(ISNUMBER(SEARCH('[1]Dettaglio pacchetti'!$AB$1:$AB$530, $C130))),
                1)
        ) &amp; "*",
        '[1]Dettaglio pacchetti'!$A$1:$I$530,
        8,
        FALSE
    ),
    IFERROR(VLOOKUP($C130, '[1]Dettaglio pacchetti'!$A$1:$I$530, 8, FALSE), "")
)</f>
        <v/>
      </c>
      <c r="M130" s="14" t="str" cm="1">
        <f t="array" ref="M130">IFERROR(
    VLOOKUP(
        INDEX('[1]Dettaglio pacchetti'!$AB$1:$AB$530,
            _xlfn.AGGREGATE(15, 6,
                ROW($1:$345)/(ISNUMBER(SEARCH('[1]Dettaglio pacchetti'!$AB$1:$AB$530, $C130))),
                1)
        ) &amp; "*",
        '[1]Dettaglio pacchetti'!$A$1:$I$530,
        9,
        FALSE
    ),
    IFERROR(VLOOKUP($C130, '[1]Dettaglio pacchetti'!$A$1:$I$530, 9, FALSE), "")
)</f>
        <v/>
      </c>
      <c r="N130" s="7"/>
      <c r="P130" s="6"/>
      <c r="AA130" t="str" cm="1">
        <f t="array" ref="AA130">IFERROR(VLOOKUP(INDEX('[1]Dettaglio pacchetti'!$AB$1:$AB$530, _xlfn.AGGREGATE(15, 6, (ROW($1:$345))/(ISNUMBER(SEARCH('[1]Dettaglio pacchetti'!$AB$1:$AB$530, $C130))), 1)) &amp; "*", '[1]Dettaglio pacchetti'!$A$1:$N$530, 13, FALSE) &amp; "", "")</f>
        <v/>
      </c>
      <c r="AB130" t="str" cm="1">
        <f t="array" ref="AB130">IF(ISNUMBER(SEARCH("dev.azure.com", AA130)), IFERROR(VLOOKUP(INDEX('[1]Dettaglio pacchetti'!$AB$1:$AB$530, _xlfn.AGGREGATE(15, 6, (ROW($1:$345))/(ISNUMBER(SEARCH('[1]Dettaglio pacchetti'!$AB$1:$AB$530, $C130))), 1)) &amp; "*", '[1]Dettaglio pacchetti'!$A$1:$N$530, 1, FALSE) &amp; "", ""), "")</f>
        <v/>
      </c>
      <c r="AC130" t="str" cm="1">
        <f t="array" ref="AC130">IFERROR(
    VLOOKUP(
        INDEX('[1]Dettaglio pacchetti'!$AB$1:$AB$530, _xlfn.AGGREGATE(15,6,ROW($1:$345)/(ISNUMBER(SEARCH('[1]Dettaglio pacchetti'!$AB$1:$AB$530,$C130))),1)) &amp; "*",
        '[1]Dettaglio pacchetti'!$A$1:$I$530,
        7,
        FALSE
    ),
    IFERROR(VLOOKUP($C130, '[1]Dettaglio pacchetti'!$A$1:$I$530, 7, FALSE), "")
)</f>
        <v/>
      </c>
      <c r="AD130" t="str" cm="1">
        <f t="array" ref="AD130">IFERROR(
    VLOOKUP(
        INDEX('[1]Dettaglio pacchetti'!$AB$1:$AB$530, _xlfn.AGGREGATE(15,6,ROW($1:$345)/(ISNUMBER(SEARCH('[1]Dettaglio pacchetti'!$AB$1:$AB$530,$C130))),1)) &amp; "*",
        '[1]Dettaglio pacchetti'!$A$1:$I$530,
        6,
        FALSE
    ),
    IFERROR(VLOOKUP($C130, '[1]Dettaglio pacchetti'!$A$1:$I$530, 6, FALSE), "")
)</f>
        <v/>
      </c>
    </row>
    <row r="131" spans="3:30" hidden="1" x14ac:dyDescent="0.3">
      <c r="C131" s="22"/>
      <c r="D131" s="20" t="str" cm="1">
        <f t="array" ref="D131">IFERROR(
    _xlfn.LET(
        _xlpm.risultato,
        IFERROR(
            _xlfn.XLOOKUP(TRIM(UPPER(G131)),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pacchetti'!$E$1:$E$530))=TRIM(UPPER(G131)),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131" s="14" t="str" cm="1">
        <f t="array" ref="E131">IF(TRIM($B131)="SG-ANAGRAFE", "Bugni Batte",
    IF(TRIM($B131)="DW01A", "Cauda",
        IFERROR(
            VLOOKUP(
                INDEX('[1]Dettaglio pacchetti'!$AB$1:$AB$530,
                    _xlfn.AGGREGATE(15, 6,
                        (ROW($1:$345))/(ISNUMBER(SEARCH('[1]Dettaglio pacchetti'!$AB$1:$AB$530, $C131))),
                        1)
                ) &amp; "*",
                '[1]Dettaglio pacchetti'!$A$1:$I$530,
                3,
                FALSE
            ),
            IFERROR(VLOOKUP($C131, '[1]Dettaglio pacchetti'!$A$1:$I$530, 3, FALSE), "")
        )
    )
)</f>
        <v/>
      </c>
      <c r="F131" s="14" t="str" cm="1">
        <f t="array" ref="F131">IF(TRIM($B131)="DW01A", "ETL - EDW Estrattori",
    IFERROR(
        VLOOKUP(
            INDEX('[1]Dettaglio pacchetti'!$AB$1:$AB$530,
                _xlfn.AGGREGATE(15, 6,
                    (ROW($1:$345))/(ISNUMBER(SEARCH('[1]Dettaglio pacchetti'!$AB$1:$AB$530, $C131))),
                    1)
            ) &amp; "*",
            '[1]Dettaglio pacchetti'!$A$1:$I$530,
            4,
            FALSE
        ),
        IFERROR(VLOOKUP($C131, '[1]Dettaglio pacchetti'!$A$1:$I$530, 4, FALSE), "")
    )
)</f>
        <v/>
      </c>
      <c r="G131" s="14" t="str" cm="1">
        <f t="array" ref="G131">IF(TRIM($B131)="DW01A", "ETL - EDW Estrattori",
    IF(TRIM($B131)="SG-ANAGRAFE", "SIGEA Anagrafe",
        IFERROR(
            VLOOKUP(
                INDEX('[1]Dettaglio pacchetti'!$AB$1:$AB$530,
                    _xlfn.AGGREGATE(15, 6,
                        (ROW($1:$345))/(ISNUMBER(SEARCH('[1]Dettaglio pacchetti'!$AB$1:$AB$530, $C131))),
                        1)
                ) &amp; "*",
                '[1]Dettaglio pacchetti'!$A$1:$I$530,
                5,
                FALSE
            ),
            IFERROR(VLOOKUP($C131, '[1]Dettaglio pacchetti'!$A$1:$I$530, 5, FALSE), "")
        )
    )
)</f>
        <v/>
      </c>
      <c r="H131" s="14" t="str" cm="1">
        <f t="array" ref="H131">IFERROR(
    VLOOKUP(
        INDEX('[1]Dettaglio pacchetti'!$AB$1:$AB$530,
            _xlfn.AGGREGATE(15, 6,
                (ROW($1:$345))/(ISNUMBER(SEARCH('[1]Dettaglio pacchetti'!$AB$1:$AB$530, $C131))),
                1)
        ) &amp; "*",
        '[1]Dettaglio pacchetti'!$A$1:$I$530,
        6,
        FALSE
    ),
    IFERROR(VLOOKUP($C131, '[1]Dettaglio pacchetti'!$A$1:$I$530, 6, FALSE), "")
)</f>
        <v/>
      </c>
      <c r="I131" s="7" t="str">
        <f t="shared" si="9"/>
        <v/>
      </c>
      <c r="J131" t="str">
        <f t="shared" si="7"/>
        <v/>
      </c>
      <c r="K131" t="str">
        <f t="shared" si="8"/>
        <v/>
      </c>
      <c r="L131" s="14" t="str" cm="1">
        <f t="array" ref="L131">IFERROR(
    VLOOKUP(
        INDEX('[1]Dettaglio pacchetti'!$AB$1:$AB$530,
            _xlfn.AGGREGATE(15, 6,
                ROW($1:$345)/(ISNUMBER(SEARCH('[1]Dettaglio pacchetti'!$AB$1:$AB$530, $C131))),
                1)
        ) &amp; "*",
        '[1]Dettaglio pacchetti'!$A$1:$I$530,
        8,
        FALSE
    ),
    IFERROR(VLOOKUP($C131, '[1]Dettaglio pacchetti'!$A$1:$I$530, 8, FALSE), "")
)</f>
        <v/>
      </c>
      <c r="M131" s="14" t="str" cm="1">
        <f t="array" ref="M131">IFERROR(
    VLOOKUP(
        INDEX('[1]Dettaglio pacchetti'!$AB$1:$AB$530,
            _xlfn.AGGREGATE(15, 6,
                ROW($1:$345)/(ISNUMBER(SEARCH('[1]Dettaglio pacchetti'!$AB$1:$AB$530, $C131))),
                1)
        ) &amp; "*",
        '[1]Dettaglio pacchetti'!$A$1:$I$530,
        9,
        FALSE
    ),
    IFERROR(VLOOKUP($C131, '[1]Dettaglio pacchetti'!$A$1:$I$530, 9, FALSE), "")
)</f>
        <v/>
      </c>
      <c r="N131" s="7"/>
      <c r="P131" s="6"/>
      <c r="AA131" t="str" cm="1">
        <f t="array" ref="AA131">IFERROR(VLOOKUP(INDEX('[1]Dettaglio pacchetti'!$AB$1:$AB$530, _xlfn.AGGREGATE(15, 6, (ROW($1:$345))/(ISNUMBER(SEARCH('[1]Dettaglio pacchetti'!$AB$1:$AB$530, $C131))), 1)) &amp; "*", '[1]Dettaglio pacchetti'!$A$1:$N$530, 13, FALSE) &amp; "", "")</f>
        <v/>
      </c>
      <c r="AB131" t="str" cm="1">
        <f t="array" ref="AB131">IF(ISNUMBER(SEARCH("dev.azure.com", AA131)), IFERROR(VLOOKUP(INDEX('[1]Dettaglio pacchetti'!$AB$1:$AB$530, _xlfn.AGGREGATE(15, 6, (ROW($1:$345))/(ISNUMBER(SEARCH('[1]Dettaglio pacchetti'!$AB$1:$AB$530, $C131))), 1)) &amp; "*", '[1]Dettaglio pacchetti'!$A$1:$N$530, 1, FALSE) &amp; "", ""), "")</f>
        <v/>
      </c>
      <c r="AC131" t="str" cm="1">
        <f t="array" ref="AC131">IFERROR(
    VLOOKUP(
        INDEX('[1]Dettaglio pacchetti'!$AB$1:$AB$530, _xlfn.AGGREGATE(15,6,ROW($1:$345)/(ISNUMBER(SEARCH('[1]Dettaglio pacchetti'!$AB$1:$AB$530,$C131))),1)) &amp; "*",
        '[1]Dettaglio pacchetti'!$A$1:$I$530,
        7,
        FALSE
    ),
    IFERROR(VLOOKUP($C131, '[1]Dettaglio pacchetti'!$A$1:$I$530, 7, FALSE), "")
)</f>
        <v/>
      </c>
      <c r="AD131" t="str" cm="1">
        <f t="array" ref="AD131">IFERROR(
    VLOOKUP(
        INDEX('[1]Dettaglio pacchetti'!$AB$1:$AB$530, _xlfn.AGGREGATE(15,6,ROW($1:$345)/(ISNUMBER(SEARCH('[1]Dettaglio pacchetti'!$AB$1:$AB$530,$C131))),1)) &amp; "*",
        '[1]Dettaglio pacchetti'!$A$1:$I$530,
        6,
        FALSE
    ),
    IFERROR(VLOOKUP($C131, '[1]Dettaglio pacchetti'!$A$1:$I$530, 6, FALSE), "")
)</f>
        <v/>
      </c>
    </row>
    <row r="132" spans="3:30" hidden="1" x14ac:dyDescent="0.3">
      <c r="C132" s="22"/>
      <c r="D132" s="20" t="str" cm="1">
        <f t="array" ref="D132">IFERROR(
    _xlfn.LET(
        _xlpm.risultato,
        IFERROR(
            _xlfn.XLOOKUP(TRIM(UPPER(G132)),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pacchetti'!$E$1:$E$530))=TRIM(UPPER(G132)),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132" s="14" t="str" cm="1">
        <f t="array" ref="E132">IF(TRIM($B132)="SG-ANAGRAFE", "Bugni Batte",
    IF(TRIM($B132)="DW01A", "Cauda",
        IFERROR(
            VLOOKUP(
                INDEX('[1]Dettaglio pacchetti'!$AB$1:$AB$530,
                    _xlfn.AGGREGATE(15, 6,
                        (ROW($1:$345))/(ISNUMBER(SEARCH('[1]Dettaglio pacchetti'!$AB$1:$AB$530, $C132))),
                        1)
                ) &amp; "*",
                '[1]Dettaglio pacchetti'!$A$1:$I$530,
                3,
                FALSE
            ),
            IFERROR(VLOOKUP($C132, '[1]Dettaglio pacchetti'!$A$1:$I$530, 3, FALSE), "")
        )
    )
)</f>
        <v/>
      </c>
      <c r="F132" s="14" t="str" cm="1">
        <f t="array" ref="F132">IF(TRIM($B132)="DW01A", "ETL - EDW Estrattori",
    IFERROR(
        VLOOKUP(
            INDEX('[1]Dettaglio pacchetti'!$AB$1:$AB$530,
                _xlfn.AGGREGATE(15, 6,
                    (ROW($1:$345))/(ISNUMBER(SEARCH('[1]Dettaglio pacchetti'!$AB$1:$AB$530, $C132))),
                    1)
            ) &amp; "*",
            '[1]Dettaglio pacchetti'!$A$1:$I$530,
            4,
            FALSE
        ),
        IFERROR(VLOOKUP($C132, '[1]Dettaglio pacchetti'!$A$1:$I$530, 4, FALSE), "")
    )
)</f>
        <v/>
      </c>
      <c r="G132" s="14" t="str" cm="1">
        <f t="array" ref="G132">IF(TRIM($B132)="DW01A", "ETL - EDW Estrattori",
    IF(TRIM($B132)="SG-ANAGRAFE", "SIGEA Anagrafe",
        IFERROR(
            VLOOKUP(
                INDEX('[1]Dettaglio pacchetti'!$AB$1:$AB$530,
                    _xlfn.AGGREGATE(15, 6,
                        (ROW($1:$345))/(ISNUMBER(SEARCH('[1]Dettaglio pacchetti'!$AB$1:$AB$530, $C132))),
                        1)
                ) &amp; "*",
                '[1]Dettaglio pacchetti'!$A$1:$I$530,
                5,
                FALSE
            ),
            IFERROR(VLOOKUP($C132, '[1]Dettaglio pacchetti'!$A$1:$I$530, 5, FALSE), "")
        )
    )
)</f>
        <v/>
      </c>
      <c r="H132" s="14" t="str" cm="1">
        <f t="array" ref="H132">IFERROR(
    VLOOKUP(
        INDEX('[1]Dettaglio pacchetti'!$AB$1:$AB$530,
            _xlfn.AGGREGATE(15, 6,
                (ROW($1:$345))/(ISNUMBER(SEARCH('[1]Dettaglio pacchetti'!$AB$1:$AB$530, $C132))),
                1)
        ) &amp; "*",
        '[1]Dettaglio pacchetti'!$A$1:$I$530,
        6,
        FALSE
    ),
    IFERROR(VLOOKUP($C132, '[1]Dettaglio pacchetti'!$A$1:$I$530, 6, FALSE), "")
)</f>
        <v/>
      </c>
      <c r="I132" s="7" t="str">
        <f t="shared" si="9"/>
        <v/>
      </c>
      <c r="J132" t="str">
        <f t="shared" si="7"/>
        <v/>
      </c>
      <c r="K132" t="str">
        <f t="shared" si="8"/>
        <v/>
      </c>
      <c r="L132" s="14" t="str" cm="1">
        <f t="array" ref="L132">IFERROR(
    VLOOKUP(
        INDEX('[1]Dettaglio pacchetti'!$AB$1:$AB$530,
            _xlfn.AGGREGATE(15, 6,
                ROW($1:$345)/(ISNUMBER(SEARCH('[1]Dettaglio pacchetti'!$AB$1:$AB$530, $C132))),
                1)
        ) &amp; "*",
        '[1]Dettaglio pacchetti'!$A$1:$I$530,
        8,
        FALSE
    ),
    IFERROR(VLOOKUP($C132, '[1]Dettaglio pacchetti'!$A$1:$I$530, 8, FALSE), "")
)</f>
        <v/>
      </c>
      <c r="M132" s="14" t="str" cm="1">
        <f t="array" ref="M132">IFERROR(
    VLOOKUP(
        INDEX('[1]Dettaglio pacchetti'!$AB$1:$AB$530,
            _xlfn.AGGREGATE(15, 6,
                ROW($1:$345)/(ISNUMBER(SEARCH('[1]Dettaglio pacchetti'!$AB$1:$AB$530, $C132))),
                1)
        ) &amp; "*",
        '[1]Dettaglio pacchetti'!$A$1:$I$530,
        9,
        FALSE
    ),
    IFERROR(VLOOKUP($C132, '[1]Dettaglio pacchetti'!$A$1:$I$530, 9, FALSE), "")
)</f>
        <v/>
      </c>
      <c r="N132" s="7"/>
      <c r="P132" s="6"/>
      <c r="AA132" t="str" cm="1">
        <f t="array" ref="AA132">IFERROR(VLOOKUP(INDEX('[1]Dettaglio pacchetti'!$AB$1:$AB$530, _xlfn.AGGREGATE(15, 6, (ROW($1:$345))/(ISNUMBER(SEARCH('[1]Dettaglio pacchetti'!$AB$1:$AB$530, $C132))), 1)) &amp; "*", '[1]Dettaglio pacchetti'!$A$1:$N$530, 13, FALSE) &amp; "", "")</f>
        <v/>
      </c>
      <c r="AB132" t="str" cm="1">
        <f t="array" ref="AB132">IF(ISNUMBER(SEARCH("dev.azure.com", AA132)), IFERROR(VLOOKUP(INDEX('[1]Dettaglio pacchetti'!$AB$1:$AB$530, _xlfn.AGGREGATE(15, 6, (ROW($1:$345))/(ISNUMBER(SEARCH('[1]Dettaglio pacchetti'!$AB$1:$AB$530, $C132))), 1)) &amp; "*", '[1]Dettaglio pacchetti'!$A$1:$N$530, 1, FALSE) &amp; "", ""), "")</f>
        <v/>
      </c>
      <c r="AC132" t="str" cm="1">
        <f t="array" ref="AC132">IFERROR(
    VLOOKUP(
        INDEX('[1]Dettaglio pacchetti'!$AB$1:$AB$530, _xlfn.AGGREGATE(15,6,ROW($1:$345)/(ISNUMBER(SEARCH('[1]Dettaglio pacchetti'!$AB$1:$AB$530,$C132))),1)) &amp; "*",
        '[1]Dettaglio pacchetti'!$A$1:$I$530,
        7,
        FALSE
    ),
    IFERROR(VLOOKUP($C132, '[1]Dettaglio pacchetti'!$A$1:$I$530, 7, FALSE), "")
)</f>
        <v/>
      </c>
      <c r="AD132" t="str" cm="1">
        <f t="array" ref="AD132">IFERROR(
    VLOOKUP(
        INDEX('[1]Dettaglio pacchetti'!$AB$1:$AB$530, _xlfn.AGGREGATE(15,6,ROW($1:$345)/(ISNUMBER(SEARCH('[1]Dettaglio pacchetti'!$AB$1:$AB$530,$C132))),1)) &amp; "*",
        '[1]Dettaglio pacchetti'!$A$1:$I$530,
        6,
        FALSE
    ),
    IFERROR(VLOOKUP($C132, '[1]Dettaglio pacchetti'!$A$1:$I$530, 6, FALSE), "")
)</f>
        <v/>
      </c>
    </row>
    <row r="133" spans="3:30" hidden="1" x14ac:dyDescent="0.3">
      <c r="C133" s="22"/>
      <c r="D133" s="20" t="str" cm="1">
        <f t="array" ref="D133">IFERROR(
    _xlfn.LET(
        _xlpm.risultato,
        IFERROR(
            _xlfn.XLOOKUP(TRIM(UPPER(G133)),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pacchetti'!$E$1:$E$530))=TRIM(UPPER(G133)),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133" s="14" t="str" cm="1">
        <f t="array" ref="E133">IF(TRIM($B133)="SG-ANAGRAFE", "Bugni Batte",
    IF(TRIM($B133)="DW01A", "Cauda",
        IFERROR(
            VLOOKUP(
                INDEX('[1]Dettaglio pacchetti'!$AB$1:$AB$530,
                    _xlfn.AGGREGATE(15, 6,
                        (ROW($1:$345))/(ISNUMBER(SEARCH('[1]Dettaglio pacchetti'!$AB$1:$AB$530, $C133))),
                        1)
                ) &amp; "*",
                '[1]Dettaglio pacchetti'!$A$1:$I$530,
                3,
                FALSE
            ),
            IFERROR(VLOOKUP($C133, '[1]Dettaglio pacchetti'!$A$1:$I$530, 3, FALSE), "")
        )
    )
)</f>
        <v/>
      </c>
      <c r="F133" s="14" t="str" cm="1">
        <f t="array" ref="F133">IF(TRIM($B133)="DW01A", "ETL - EDW Estrattori",
    IFERROR(
        VLOOKUP(
            INDEX('[1]Dettaglio pacchetti'!$AB$1:$AB$530,
                _xlfn.AGGREGATE(15, 6,
                    (ROW($1:$345))/(ISNUMBER(SEARCH('[1]Dettaglio pacchetti'!$AB$1:$AB$530, $C133))),
                    1)
            ) &amp; "*",
            '[1]Dettaglio pacchetti'!$A$1:$I$530,
            4,
            FALSE
        ),
        IFERROR(VLOOKUP($C133, '[1]Dettaglio pacchetti'!$A$1:$I$530, 4, FALSE), "")
    )
)</f>
        <v/>
      </c>
      <c r="G133" s="14" t="str" cm="1">
        <f t="array" ref="G133">IF(TRIM($B133)="DW01A", "ETL - EDW Estrattori",
    IF(TRIM($B133)="SG-ANAGRAFE", "SIGEA Anagrafe",
        IFERROR(
            VLOOKUP(
                INDEX('[1]Dettaglio pacchetti'!$AB$1:$AB$530,
                    _xlfn.AGGREGATE(15, 6,
                        (ROW($1:$345))/(ISNUMBER(SEARCH('[1]Dettaglio pacchetti'!$AB$1:$AB$530, $C133))),
                        1)
                ) &amp; "*",
                '[1]Dettaglio pacchetti'!$A$1:$I$530,
                5,
                FALSE
            ),
            IFERROR(VLOOKUP($C133, '[1]Dettaglio pacchetti'!$A$1:$I$530, 5, FALSE), "")
        )
    )
)</f>
        <v/>
      </c>
      <c r="H133" s="14" t="str" cm="1">
        <f t="array" ref="H133">IFERROR(
    VLOOKUP(
        INDEX('[1]Dettaglio pacchetti'!$AB$1:$AB$530,
            _xlfn.AGGREGATE(15, 6,
                (ROW($1:$345))/(ISNUMBER(SEARCH('[1]Dettaglio pacchetti'!$AB$1:$AB$530, $C133))),
                1)
        ) &amp; "*",
        '[1]Dettaglio pacchetti'!$A$1:$I$530,
        6,
        FALSE
    ),
    IFERROR(VLOOKUP($C133, '[1]Dettaglio pacchetti'!$A$1:$I$530, 6, FALSE), "")
)</f>
        <v/>
      </c>
      <c r="I133" s="7" t="str">
        <f t="shared" si="9"/>
        <v/>
      </c>
      <c r="J133" t="str">
        <f t="shared" si="7"/>
        <v/>
      </c>
      <c r="K133" t="str">
        <f t="shared" si="8"/>
        <v/>
      </c>
      <c r="L133" s="14" t="str" cm="1">
        <f t="array" ref="L133">IFERROR(
    VLOOKUP(
        INDEX('[1]Dettaglio pacchetti'!$AB$1:$AB$530,
            _xlfn.AGGREGATE(15, 6,
                ROW($1:$345)/(ISNUMBER(SEARCH('[1]Dettaglio pacchetti'!$AB$1:$AB$530, $C133))),
                1)
        ) &amp; "*",
        '[1]Dettaglio pacchetti'!$A$1:$I$530,
        8,
        FALSE
    ),
    IFERROR(VLOOKUP($C133, '[1]Dettaglio pacchetti'!$A$1:$I$530, 8, FALSE), "")
)</f>
        <v/>
      </c>
      <c r="M133" s="14" t="str" cm="1">
        <f t="array" ref="M133">IFERROR(
    VLOOKUP(
        INDEX('[1]Dettaglio pacchetti'!$AB$1:$AB$530,
            _xlfn.AGGREGATE(15, 6,
                ROW($1:$345)/(ISNUMBER(SEARCH('[1]Dettaglio pacchetti'!$AB$1:$AB$530, $C133))),
                1)
        ) &amp; "*",
        '[1]Dettaglio pacchetti'!$A$1:$I$530,
        9,
        FALSE
    ),
    IFERROR(VLOOKUP($C133, '[1]Dettaglio pacchetti'!$A$1:$I$530, 9, FALSE), "")
)</f>
        <v/>
      </c>
      <c r="N133" s="7"/>
      <c r="P133" s="6"/>
      <c r="AA133" t="str" cm="1">
        <f t="array" ref="AA133">IFERROR(VLOOKUP(INDEX('[1]Dettaglio pacchetti'!$AB$1:$AB$530, _xlfn.AGGREGATE(15, 6, (ROW($1:$345))/(ISNUMBER(SEARCH('[1]Dettaglio pacchetti'!$AB$1:$AB$530, $C133))), 1)) &amp; "*", '[1]Dettaglio pacchetti'!$A$1:$N$530, 13, FALSE) &amp; "", "")</f>
        <v/>
      </c>
      <c r="AB133" t="str" cm="1">
        <f t="array" ref="AB133">IF(ISNUMBER(SEARCH("dev.azure.com", AA133)), IFERROR(VLOOKUP(INDEX('[1]Dettaglio pacchetti'!$AB$1:$AB$530, _xlfn.AGGREGATE(15, 6, (ROW($1:$345))/(ISNUMBER(SEARCH('[1]Dettaglio pacchetti'!$AB$1:$AB$530, $C133))), 1)) &amp; "*", '[1]Dettaglio pacchetti'!$A$1:$N$530, 1, FALSE) &amp; "", ""), "")</f>
        <v/>
      </c>
      <c r="AC133" t="str" cm="1">
        <f t="array" ref="AC133">IFERROR(
    VLOOKUP(
        INDEX('[1]Dettaglio pacchetti'!$AB$1:$AB$530, _xlfn.AGGREGATE(15,6,ROW($1:$345)/(ISNUMBER(SEARCH('[1]Dettaglio pacchetti'!$AB$1:$AB$530,$C133))),1)) &amp; "*",
        '[1]Dettaglio pacchetti'!$A$1:$I$530,
        7,
        FALSE
    ),
    IFERROR(VLOOKUP($C133, '[1]Dettaglio pacchetti'!$A$1:$I$530, 7, FALSE), "")
)</f>
        <v/>
      </c>
      <c r="AD133" t="str" cm="1">
        <f t="array" ref="AD133">IFERROR(
    VLOOKUP(
        INDEX('[1]Dettaglio pacchetti'!$AB$1:$AB$530, _xlfn.AGGREGATE(15,6,ROW($1:$345)/(ISNUMBER(SEARCH('[1]Dettaglio pacchetti'!$AB$1:$AB$530,$C133))),1)) &amp; "*",
        '[1]Dettaglio pacchetti'!$A$1:$I$530,
        6,
        FALSE
    ),
    IFERROR(VLOOKUP($C133, '[1]Dettaglio pacchetti'!$A$1:$I$530, 6, FALSE), "")
)</f>
        <v/>
      </c>
    </row>
    <row r="134" spans="3:30" hidden="1" x14ac:dyDescent="0.3">
      <c r="C134" s="22"/>
      <c r="D134" s="20" t="str" cm="1">
        <f t="array" ref="D134">IFERROR(
    _xlfn.LET(
        _xlpm.risultato,
        IFERROR(
            _xlfn.XLOOKUP(TRIM(UPPER(G134)),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pacchetti'!$E$1:$E$530))=TRIM(UPPER(G134)),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134" s="14" t="str" cm="1">
        <f t="array" ref="E134">IF(TRIM($B134)="SG-ANAGRAFE", "Bugni Batte",
    IF(TRIM($B134)="DW01A", "Cauda",
        IFERROR(
            VLOOKUP(
                INDEX('[1]Dettaglio pacchetti'!$AB$1:$AB$530,
                    _xlfn.AGGREGATE(15, 6,
                        (ROW($1:$345))/(ISNUMBER(SEARCH('[1]Dettaglio pacchetti'!$AB$1:$AB$530, $C134))),
                        1)
                ) &amp; "*",
                '[1]Dettaglio pacchetti'!$A$1:$I$530,
                3,
                FALSE
            ),
            IFERROR(VLOOKUP($C134, '[1]Dettaglio pacchetti'!$A$1:$I$530, 3, FALSE), "")
        )
    )
)</f>
        <v/>
      </c>
      <c r="F134" s="14" t="str" cm="1">
        <f t="array" ref="F134">IF(TRIM($B134)="DW01A", "ETL - EDW Estrattori",
    IFERROR(
        VLOOKUP(
            INDEX('[1]Dettaglio pacchetti'!$AB$1:$AB$530,
                _xlfn.AGGREGATE(15, 6,
                    (ROW($1:$345))/(ISNUMBER(SEARCH('[1]Dettaglio pacchetti'!$AB$1:$AB$530, $C134))),
                    1)
            ) &amp; "*",
            '[1]Dettaglio pacchetti'!$A$1:$I$530,
            4,
            FALSE
        ),
        IFERROR(VLOOKUP($C134, '[1]Dettaglio pacchetti'!$A$1:$I$530, 4, FALSE), "")
    )
)</f>
        <v/>
      </c>
      <c r="G134" s="14" t="str" cm="1">
        <f t="array" ref="G134">IF(TRIM($B134)="DW01A", "ETL - EDW Estrattori",
    IF(TRIM($B134)="SG-ANAGRAFE", "SIGEA Anagrafe",
        IFERROR(
            VLOOKUP(
                INDEX('[1]Dettaglio pacchetti'!$AB$1:$AB$530,
                    _xlfn.AGGREGATE(15, 6,
                        (ROW($1:$345))/(ISNUMBER(SEARCH('[1]Dettaglio pacchetti'!$AB$1:$AB$530, $C134))),
                        1)
                ) &amp; "*",
                '[1]Dettaglio pacchetti'!$A$1:$I$530,
                5,
                FALSE
            ),
            IFERROR(VLOOKUP($C134, '[1]Dettaglio pacchetti'!$A$1:$I$530, 5, FALSE), "")
        )
    )
)</f>
        <v/>
      </c>
      <c r="H134" s="14" t="str" cm="1">
        <f t="array" ref="H134">IFERROR(
    VLOOKUP(
        INDEX('[1]Dettaglio pacchetti'!$AB$1:$AB$530,
            _xlfn.AGGREGATE(15, 6,
                (ROW($1:$345))/(ISNUMBER(SEARCH('[1]Dettaglio pacchetti'!$AB$1:$AB$530, $C134))),
                1)
        ) &amp; "*",
        '[1]Dettaglio pacchetti'!$A$1:$I$530,
        6,
        FALSE
    ),
    IFERROR(VLOOKUP($C134, '[1]Dettaglio pacchetti'!$A$1:$I$530, 6, FALSE), "")
)</f>
        <v/>
      </c>
      <c r="I134" s="7" t="str">
        <f t="shared" si="9"/>
        <v/>
      </c>
      <c r="J134" t="str">
        <f t="shared" si="7"/>
        <v/>
      </c>
      <c r="K134" t="str">
        <f t="shared" si="8"/>
        <v/>
      </c>
      <c r="L134" s="14" t="str" cm="1">
        <f t="array" ref="L134">IFERROR(
    VLOOKUP(
        INDEX('[1]Dettaglio pacchetti'!$AB$1:$AB$530,
            _xlfn.AGGREGATE(15, 6,
                ROW($1:$345)/(ISNUMBER(SEARCH('[1]Dettaglio pacchetti'!$AB$1:$AB$530, $C134))),
                1)
        ) &amp; "*",
        '[1]Dettaglio pacchetti'!$A$1:$I$530,
        8,
        FALSE
    ),
    IFERROR(VLOOKUP($C134, '[1]Dettaglio pacchetti'!$A$1:$I$530, 8, FALSE), "")
)</f>
        <v/>
      </c>
      <c r="M134" s="14" t="str" cm="1">
        <f t="array" ref="M134">IFERROR(
    VLOOKUP(
        INDEX('[1]Dettaglio pacchetti'!$AB$1:$AB$530,
            _xlfn.AGGREGATE(15, 6,
                ROW($1:$345)/(ISNUMBER(SEARCH('[1]Dettaglio pacchetti'!$AB$1:$AB$530, $C134))),
                1)
        ) &amp; "*",
        '[1]Dettaglio pacchetti'!$A$1:$I$530,
        9,
        FALSE
    ),
    IFERROR(VLOOKUP($C134, '[1]Dettaglio pacchetti'!$A$1:$I$530, 9, FALSE), "")
)</f>
        <v/>
      </c>
      <c r="N134" s="7"/>
      <c r="P134" s="6"/>
      <c r="AA134" t="str" cm="1">
        <f t="array" ref="AA134">IFERROR(VLOOKUP(INDEX('[1]Dettaglio pacchetti'!$AB$1:$AB$530, _xlfn.AGGREGATE(15, 6, (ROW($1:$345))/(ISNUMBER(SEARCH('[1]Dettaglio pacchetti'!$AB$1:$AB$530, $C134))), 1)) &amp; "*", '[1]Dettaglio pacchetti'!$A$1:$N$530, 13, FALSE) &amp; "", "")</f>
        <v/>
      </c>
      <c r="AB134" t="str" cm="1">
        <f t="array" ref="AB134">IF(ISNUMBER(SEARCH("dev.azure.com", AA134)), IFERROR(VLOOKUP(INDEX('[1]Dettaglio pacchetti'!$AB$1:$AB$530, _xlfn.AGGREGATE(15, 6, (ROW($1:$345))/(ISNUMBER(SEARCH('[1]Dettaglio pacchetti'!$AB$1:$AB$530, $C134))), 1)) &amp; "*", '[1]Dettaglio pacchetti'!$A$1:$N$530, 1, FALSE) &amp; "", ""), "")</f>
        <v/>
      </c>
      <c r="AC134" t="str" cm="1">
        <f t="array" ref="AC134">IFERROR(
    VLOOKUP(
        INDEX('[1]Dettaglio pacchetti'!$AB$1:$AB$530, _xlfn.AGGREGATE(15,6,ROW($1:$345)/(ISNUMBER(SEARCH('[1]Dettaglio pacchetti'!$AB$1:$AB$530,$C134))),1)) &amp; "*",
        '[1]Dettaglio pacchetti'!$A$1:$I$530,
        7,
        FALSE
    ),
    IFERROR(VLOOKUP($C134, '[1]Dettaglio pacchetti'!$A$1:$I$530, 7, FALSE), "")
)</f>
        <v/>
      </c>
      <c r="AD134" t="str" cm="1">
        <f t="array" ref="AD134">IFERROR(
    VLOOKUP(
        INDEX('[1]Dettaglio pacchetti'!$AB$1:$AB$530, _xlfn.AGGREGATE(15,6,ROW($1:$345)/(ISNUMBER(SEARCH('[1]Dettaglio pacchetti'!$AB$1:$AB$530,$C134))),1)) &amp; "*",
        '[1]Dettaglio pacchetti'!$A$1:$I$530,
        6,
        FALSE
    ),
    IFERROR(VLOOKUP($C134, '[1]Dettaglio pacchetti'!$A$1:$I$530, 6, FALSE), "")
)</f>
        <v/>
      </c>
    </row>
    <row r="135" spans="3:30" hidden="1" x14ac:dyDescent="0.3">
      <c r="C135" s="22"/>
      <c r="D135" s="20" t="str" cm="1">
        <f t="array" ref="D135">IFERROR(
    _xlfn.LET(
        _xlpm.risultato,
        IFERROR(
            _xlfn.XLOOKUP(TRIM(UPPER(G135)),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pacchetti'!$E$1:$E$530))=TRIM(UPPER(G135)),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135" s="14" t="str" cm="1">
        <f t="array" ref="E135">IF(TRIM($B135)="SG-ANAGRAFE", "Bugni Batte",
    IF(TRIM($B135)="DW01A", "Cauda",
        IFERROR(
            VLOOKUP(
                INDEX('[1]Dettaglio pacchetti'!$AB$1:$AB$530,
                    _xlfn.AGGREGATE(15, 6,
                        (ROW($1:$345))/(ISNUMBER(SEARCH('[1]Dettaglio pacchetti'!$AB$1:$AB$530, $C135))),
                        1)
                ) &amp; "*",
                '[1]Dettaglio pacchetti'!$A$1:$I$530,
                3,
                FALSE
            ),
            IFERROR(VLOOKUP($C135, '[1]Dettaglio pacchetti'!$A$1:$I$530, 3, FALSE), "")
        )
    )
)</f>
        <v/>
      </c>
      <c r="F135" s="14" t="str" cm="1">
        <f t="array" ref="F135">IF(TRIM($B135)="DW01A", "ETL - EDW Estrattori",
    IFERROR(
        VLOOKUP(
            INDEX('[1]Dettaglio pacchetti'!$AB$1:$AB$530,
                _xlfn.AGGREGATE(15, 6,
                    (ROW($1:$345))/(ISNUMBER(SEARCH('[1]Dettaglio pacchetti'!$AB$1:$AB$530, $C135))),
                    1)
            ) &amp; "*",
            '[1]Dettaglio pacchetti'!$A$1:$I$530,
            4,
            FALSE
        ),
        IFERROR(VLOOKUP($C135, '[1]Dettaglio pacchetti'!$A$1:$I$530, 4, FALSE), "")
    )
)</f>
        <v/>
      </c>
      <c r="G135" s="14" t="str" cm="1">
        <f t="array" ref="G135">IF(TRIM($B135)="DW01A", "ETL - EDW Estrattori",
    IF(TRIM($B135)="SG-ANAGRAFE", "SIGEA Anagrafe",
        IFERROR(
            VLOOKUP(
                INDEX('[1]Dettaglio pacchetti'!$AB$1:$AB$530,
                    _xlfn.AGGREGATE(15, 6,
                        (ROW($1:$345))/(ISNUMBER(SEARCH('[1]Dettaglio pacchetti'!$AB$1:$AB$530, $C135))),
                        1)
                ) &amp; "*",
                '[1]Dettaglio pacchetti'!$A$1:$I$530,
                5,
                FALSE
            ),
            IFERROR(VLOOKUP($C135, '[1]Dettaglio pacchetti'!$A$1:$I$530, 5, FALSE), "")
        )
    )
)</f>
        <v/>
      </c>
      <c r="H135" s="14" t="str" cm="1">
        <f t="array" ref="H135">IFERROR(
    VLOOKUP(
        INDEX('[1]Dettaglio pacchetti'!$AB$1:$AB$530,
            _xlfn.AGGREGATE(15, 6,
                (ROW($1:$345))/(ISNUMBER(SEARCH('[1]Dettaglio pacchetti'!$AB$1:$AB$530, $C135))),
                1)
        ) &amp; "*",
        '[1]Dettaglio pacchetti'!$A$1:$I$530,
        6,
        FALSE
    ),
    IFERROR(VLOOKUP($C135, '[1]Dettaglio pacchetti'!$A$1:$I$530, 6, FALSE), "")
)</f>
        <v/>
      </c>
      <c r="I135" s="7" t="str">
        <f t="shared" si="9"/>
        <v/>
      </c>
      <c r="J135" t="str">
        <f t="shared" si="7"/>
        <v/>
      </c>
      <c r="K135" t="str">
        <f t="shared" si="8"/>
        <v/>
      </c>
      <c r="L135" s="14" t="str" cm="1">
        <f t="array" ref="L135">IFERROR(
    VLOOKUP(
        INDEX('[1]Dettaglio pacchetti'!$AB$1:$AB$530,
            _xlfn.AGGREGATE(15, 6,
                ROW($1:$345)/(ISNUMBER(SEARCH('[1]Dettaglio pacchetti'!$AB$1:$AB$530, $C135))),
                1)
        ) &amp; "*",
        '[1]Dettaglio pacchetti'!$A$1:$I$530,
        8,
        FALSE
    ),
    IFERROR(VLOOKUP($C135, '[1]Dettaglio pacchetti'!$A$1:$I$530, 8, FALSE), "")
)</f>
        <v/>
      </c>
      <c r="M135" s="14" t="str" cm="1">
        <f t="array" ref="M135">IFERROR(
    VLOOKUP(
        INDEX('[1]Dettaglio pacchetti'!$AB$1:$AB$530,
            _xlfn.AGGREGATE(15, 6,
                ROW($1:$345)/(ISNUMBER(SEARCH('[1]Dettaglio pacchetti'!$AB$1:$AB$530, $C135))),
                1)
        ) &amp; "*",
        '[1]Dettaglio pacchetti'!$A$1:$I$530,
        9,
        FALSE
    ),
    IFERROR(VLOOKUP($C135, '[1]Dettaglio pacchetti'!$A$1:$I$530, 9, FALSE), "")
)</f>
        <v/>
      </c>
      <c r="N135" s="7"/>
      <c r="P135" s="6"/>
      <c r="AA135" t="str" cm="1">
        <f t="array" ref="AA135">IFERROR(VLOOKUP(INDEX('[1]Dettaglio pacchetti'!$AB$1:$AB$530, _xlfn.AGGREGATE(15, 6, (ROW($1:$345))/(ISNUMBER(SEARCH('[1]Dettaglio pacchetti'!$AB$1:$AB$530, $C135))), 1)) &amp; "*", '[1]Dettaglio pacchetti'!$A$1:$N$530, 13, FALSE) &amp; "", "")</f>
        <v/>
      </c>
      <c r="AB135" t="str" cm="1">
        <f t="array" ref="AB135">IF(ISNUMBER(SEARCH("dev.azure.com", AA135)), IFERROR(VLOOKUP(INDEX('[1]Dettaglio pacchetti'!$AB$1:$AB$530, _xlfn.AGGREGATE(15, 6, (ROW($1:$345))/(ISNUMBER(SEARCH('[1]Dettaglio pacchetti'!$AB$1:$AB$530, $C135))), 1)) &amp; "*", '[1]Dettaglio pacchetti'!$A$1:$N$530, 1, FALSE) &amp; "", ""), "")</f>
        <v/>
      </c>
      <c r="AC135" t="str" cm="1">
        <f t="array" ref="AC135">IFERROR(
    VLOOKUP(
        INDEX('[1]Dettaglio pacchetti'!$AB$1:$AB$530, _xlfn.AGGREGATE(15,6,ROW($1:$345)/(ISNUMBER(SEARCH('[1]Dettaglio pacchetti'!$AB$1:$AB$530,$C135))),1)) &amp; "*",
        '[1]Dettaglio pacchetti'!$A$1:$I$530,
        7,
        FALSE
    ),
    IFERROR(VLOOKUP($C135, '[1]Dettaglio pacchetti'!$A$1:$I$530, 7, FALSE), "")
)</f>
        <v/>
      </c>
      <c r="AD135" t="str" cm="1">
        <f t="array" ref="AD135">IFERROR(
    VLOOKUP(
        INDEX('[1]Dettaglio pacchetti'!$AB$1:$AB$530, _xlfn.AGGREGATE(15,6,ROW($1:$345)/(ISNUMBER(SEARCH('[1]Dettaglio pacchetti'!$AB$1:$AB$530,$C135))),1)) &amp; "*",
        '[1]Dettaglio pacchetti'!$A$1:$I$530,
        6,
        FALSE
    ),
    IFERROR(VLOOKUP($C135, '[1]Dettaglio pacchetti'!$A$1:$I$530, 6, FALSE), "")
)</f>
        <v/>
      </c>
    </row>
    <row r="136" spans="3:30" hidden="1" x14ac:dyDescent="0.3">
      <c r="C136" s="22"/>
      <c r="D136" s="20" t="str" cm="1">
        <f t="array" ref="D136">IFERROR(
    _xlfn.LET(
        _xlpm.risultato,
        IFERROR(
            _xlfn.XLOOKUP(TRIM(UPPER(G136)),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pacchetti'!$E$1:$E$530))=TRIM(UPPER(G136)),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136" s="14" t="str" cm="1">
        <f t="array" ref="E136">IF(TRIM($B136)="SG-ANAGRAFE", "Bugni Batte",
    IF(TRIM($B136)="DW01A", "Cauda",
        IFERROR(
            VLOOKUP(
                INDEX('[1]Dettaglio pacchetti'!$AB$1:$AB$530,
                    _xlfn.AGGREGATE(15, 6,
                        (ROW($1:$345))/(ISNUMBER(SEARCH('[1]Dettaglio pacchetti'!$AB$1:$AB$530, $C136))),
                        1)
                ) &amp; "*",
                '[1]Dettaglio pacchetti'!$A$1:$I$530,
                3,
                FALSE
            ),
            IFERROR(VLOOKUP($C136, '[1]Dettaglio pacchetti'!$A$1:$I$530, 3, FALSE), "")
        )
    )
)</f>
        <v/>
      </c>
      <c r="F136" s="14" t="str" cm="1">
        <f t="array" ref="F136">IF(TRIM($B136)="DW01A", "ETL - EDW Estrattori",
    IFERROR(
        VLOOKUP(
            INDEX('[1]Dettaglio pacchetti'!$AB$1:$AB$530,
                _xlfn.AGGREGATE(15, 6,
                    (ROW($1:$345))/(ISNUMBER(SEARCH('[1]Dettaglio pacchetti'!$AB$1:$AB$530, $C136))),
                    1)
            ) &amp; "*",
            '[1]Dettaglio pacchetti'!$A$1:$I$530,
            4,
            FALSE
        ),
        IFERROR(VLOOKUP($C136, '[1]Dettaglio pacchetti'!$A$1:$I$530, 4, FALSE), "")
    )
)</f>
        <v/>
      </c>
      <c r="G136" s="14" t="str" cm="1">
        <f t="array" ref="G136">IF(TRIM($B136)="DW01A", "ETL - EDW Estrattori",
    IF(TRIM($B136)="SG-ANAGRAFE", "SIGEA Anagrafe",
        IFERROR(
            VLOOKUP(
                INDEX('[1]Dettaglio pacchetti'!$AB$1:$AB$530,
                    _xlfn.AGGREGATE(15, 6,
                        (ROW($1:$345))/(ISNUMBER(SEARCH('[1]Dettaglio pacchetti'!$AB$1:$AB$530, $C136))),
                        1)
                ) &amp; "*",
                '[1]Dettaglio pacchetti'!$A$1:$I$530,
                5,
                FALSE
            ),
            IFERROR(VLOOKUP($C136, '[1]Dettaglio pacchetti'!$A$1:$I$530, 5, FALSE), "")
        )
    )
)</f>
        <v/>
      </c>
      <c r="H136" s="14" t="str" cm="1">
        <f t="array" ref="H136">IFERROR(
    VLOOKUP(
        INDEX('[1]Dettaglio pacchetti'!$AB$1:$AB$530,
            _xlfn.AGGREGATE(15, 6,
                (ROW($1:$345))/(ISNUMBER(SEARCH('[1]Dettaglio pacchetti'!$AB$1:$AB$530, $C136))),
                1)
        ) &amp; "*",
        '[1]Dettaglio pacchetti'!$A$1:$I$530,
        6,
        FALSE
    ),
    IFERROR(VLOOKUP($C136, '[1]Dettaglio pacchetti'!$A$1:$I$530, 6, FALSE), "")
)</f>
        <v/>
      </c>
      <c r="I136" s="7" t="str">
        <f t="shared" si="9"/>
        <v/>
      </c>
      <c r="J136" t="str">
        <f t="shared" si="7"/>
        <v/>
      </c>
      <c r="K136" t="str">
        <f t="shared" si="8"/>
        <v/>
      </c>
      <c r="L136" s="14" t="str" cm="1">
        <f t="array" ref="L136">IFERROR(
    VLOOKUP(
        INDEX('[1]Dettaglio pacchetti'!$AB$1:$AB$530,
            _xlfn.AGGREGATE(15, 6,
                ROW($1:$345)/(ISNUMBER(SEARCH('[1]Dettaglio pacchetti'!$AB$1:$AB$530, $C136))),
                1)
        ) &amp; "*",
        '[1]Dettaglio pacchetti'!$A$1:$I$530,
        8,
        FALSE
    ),
    IFERROR(VLOOKUP($C136, '[1]Dettaglio pacchetti'!$A$1:$I$530, 8, FALSE), "")
)</f>
        <v/>
      </c>
      <c r="M136" s="14" t="str" cm="1">
        <f t="array" ref="M136">IFERROR(
    VLOOKUP(
        INDEX('[1]Dettaglio pacchetti'!$AB$1:$AB$530,
            _xlfn.AGGREGATE(15, 6,
                ROW($1:$345)/(ISNUMBER(SEARCH('[1]Dettaglio pacchetti'!$AB$1:$AB$530, $C136))),
                1)
        ) &amp; "*",
        '[1]Dettaglio pacchetti'!$A$1:$I$530,
        9,
        FALSE
    ),
    IFERROR(VLOOKUP($C136, '[1]Dettaglio pacchetti'!$A$1:$I$530, 9, FALSE), "")
)</f>
        <v/>
      </c>
      <c r="N136" s="7"/>
      <c r="P136" s="6"/>
      <c r="AA136" t="str" cm="1">
        <f t="array" ref="AA136">IFERROR(VLOOKUP(INDEX('[1]Dettaglio pacchetti'!$AB$1:$AB$530, _xlfn.AGGREGATE(15, 6, (ROW($1:$345))/(ISNUMBER(SEARCH('[1]Dettaglio pacchetti'!$AB$1:$AB$530, $C136))), 1)) &amp; "*", '[1]Dettaglio pacchetti'!$A$1:$N$530, 13, FALSE) &amp; "", "")</f>
        <v/>
      </c>
      <c r="AB136" t="str" cm="1">
        <f t="array" ref="AB136">IF(ISNUMBER(SEARCH("dev.azure.com", AA136)), IFERROR(VLOOKUP(INDEX('[1]Dettaglio pacchetti'!$AB$1:$AB$530, _xlfn.AGGREGATE(15, 6, (ROW($1:$345))/(ISNUMBER(SEARCH('[1]Dettaglio pacchetti'!$AB$1:$AB$530, $C136))), 1)) &amp; "*", '[1]Dettaglio pacchetti'!$A$1:$N$530, 1, FALSE) &amp; "", ""), "")</f>
        <v/>
      </c>
      <c r="AC136" t="str" cm="1">
        <f t="array" ref="AC136">IFERROR(
    VLOOKUP(
        INDEX('[1]Dettaglio pacchetti'!$AB$1:$AB$530, _xlfn.AGGREGATE(15,6,ROW($1:$345)/(ISNUMBER(SEARCH('[1]Dettaglio pacchetti'!$AB$1:$AB$530,$C136))),1)) &amp; "*",
        '[1]Dettaglio pacchetti'!$A$1:$I$530,
        7,
        FALSE
    ),
    IFERROR(VLOOKUP($C136, '[1]Dettaglio pacchetti'!$A$1:$I$530, 7, FALSE), "")
)</f>
        <v/>
      </c>
      <c r="AD136" t="str" cm="1">
        <f t="array" ref="AD136">IFERROR(
    VLOOKUP(
        INDEX('[1]Dettaglio pacchetti'!$AB$1:$AB$530, _xlfn.AGGREGATE(15,6,ROW($1:$345)/(ISNUMBER(SEARCH('[1]Dettaglio pacchetti'!$AB$1:$AB$530,$C136))),1)) &amp; "*",
        '[1]Dettaglio pacchetti'!$A$1:$I$530,
        6,
        FALSE
    ),
    IFERROR(VLOOKUP($C136, '[1]Dettaglio pacchetti'!$A$1:$I$530, 6, FALSE), "")
)</f>
        <v/>
      </c>
    </row>
    <row r="137" spans="3:30" hidden="1" x14ac:dyDescent="0.3">
      <c r="C137" s="22"/>
      <c r="D137" s="20" t="str" cm="1">
        <f t="array" ref="D137">IFERROR(
    _xlfn.LET(
        _xlpm.risultato,
        IFERROR(
            _xlfn.XLOOKUP(TRIM(UPPER(G137)),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pacchetti'!$E$1:$E$530))=TRIM(UPPER(G137)),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137" s="14" t="str" cm="1">
        <f t="array" ref="E137">IF(TRIM($B137)="SG-ANAGRAFE", "Bugni Batte",
    IF(TRIM($B137)="DW01A", "Cauda",
        IFERROR(
            VLOOKUP(
                INDEX('[1]Dettaglio pacchetti'!$AB$1:$AB$530,
                    _xlfn.AGGREGATE(15, 6,
                        (ROW($1:$345))/(ISNUMBER(SEARCH('[1]Dettaglio pacchetti'!$AB$1:$AB$530, $C137))),
                        1)
                ) &amp; "*",
                '[1]Dettaglio pacchetti'!$A$1:$I$530,
                3,
                FALSE
            ),
            IFERROR(VLOOKUP($C137, '[1]Dettaglio pacchetti'!$A$1:$I$530, 3, FALSE), "")
        )
    )
)</f>
        <v/>
      </c>
      <c r="F137" s="14" t="str" cm="1">
        <f t="array" ref="F137">IF(TRIM($B137)="DW01A", "ETL - EDW Estrattori",
    IFERROR(
        VLOOKUP(
            INDEX('[1]Dettaglio pacchetti'!$AB$1:$AB$530,
                _xlfn.AGGREGATE(15, 6,
                    (ROW($1:$345))/(ISNUMBER(SEARCH('[1]Dettaglio pacchetti'!$AB$1:$AB$530, $C137))),
                    1)
            ) &amp; "*",
            '[1]Dettaglio pacchetti'!$A$1:$I$530,
            4,
            FALSE
        ),
        IFERROR(VLOOKUP($C137, '[1]Dettaglio pacchetti'!$A$1:$I$530, 4, FALSE), "")
    )
)</f>
        <v/>
      </c>
      <c r="G137" s="14" t="str" cm="1">
        <f t="array" ref="G137">IF(TRIM($B137)="DW01A", "ETL - EDW Estrattori",
    IF(TRIM($B137)="SG-ANAGRAFE", "SIGEA Anagrafe",
        IFERROR(
            VLOOKUP(
                INDEX('[1]Dettaglio pacchetti'!$AB$1:$AB$530,
                    _xlfn.AGGREGATE(15, 6,
                        (ROW($1:$345))/(ISNUMBER(SEARCH('[1]Dettaglio pacchetti'!$AB$1:$AB$530, $C137))),
                        1)
                ) &amp; "*",
                '[1]Dettaglio pacchetti'!$A$1:$I$530,
                5,
                FALSE
            ),
            IFERROR(VLOOKUP($C137, '[1]Dettaglio pacchetti'!$A$1:$I$530, 5, FALSE), "")
        )
    )
)</f>
        <v/>
      </c>
      <c r="H137" s="14" t="str" cm="1">
        <f t="array" ref="H137">IFERROR(
    VLOOKUP(
        INDEX('[1]Dettaglio pacchetti'!$AB$1:$AB$530,
            _xlfn.AGGREGATE(15, 6,
                (ROW($1:$345))/(ISNUMBER(SEARCH('[1]Dettaglio pacchetti'!$AB$1:$AB$530, $C137))),
                1)
        ) &amp; "*",
        '[1]Dettaglio pacchetti'!$A$1:$I$530,
        6,
        FALSE
    ),
    IFERROR(VLOOKUP($C137, '[1]Dettaglio pacchetti'!$A$1:$I$530, 6, FALSE), "")
)</f>
        <v/>
      </c>
      <c r="I137" s="7" t="str">
        <f t="shared" si="9"/>
        <v/>
      </c>
      <c r="J137" t="str">
        <f t="shared" si="7"/>
        <v/>
      </c>
      <c r="K137" t="str">
        <f t="shared" si="8"/>
        <v/>
      </c>
      <c r="L137" s="14" t="str" cm="1">
        <f t="array" ref="L137">IFERROR(
    VLOOKUP(
        INDEX('[1]Dettaglio pacchetti'!$AB$1:$AB$530,
            _xlfn.AGGREGATE(15, 6,
                ROW($1:$345)/(ISNUMBER(SEARCH('[1]Dettaglio pacchetti'!$AB$1:$AB$530, $C137))),
                1)
        ) &amp; "*",
        '[1]Dettaglio pacchetti'!$A$1:$I$530,
        8,
        FALSE
    ),
    IFERROR(VLOOKUP($C137, '[1]Dettaglio pacchetti'!$A$1:$I$530, 8, FALSE), "")
)</f>
        <v/>
      </c>
      <c r="M137" s="14" t="str" cm="1">
        <f t="array" ref="M137">IFERROR(
    VLOOKUP(
        INDEX('[1]Dettaglio pacchetti'!$AB$1:$AB$530,
            _xlfn.AGGREGATE(15, 6,
                ROW($1:$345)/(ISNUMBER(SEARCH('[1]Dettaglio pacchetti'!$AB$1:$AB$530, $C137))),
                1)
        ) &amp; "*",
        '[1]Dettaglio pacchetti'!$A$1:$I$530,
        9,
        FALSE
    ),
    IFERROR(VLOOKUP($C137, '[1]Dettaglio pacchetti'!$A$1:$I$530, 9, FALSE), "")
)</f>
        <v/>
      </c>
      <c r="N137" s="7"/>
      <c r="P137" s="6"/>
      <c r="AA137" t="str" cm="1">
        <f t="array" ref="AA137">IFERROR(VLOOKUP(INDEX('[1]Dettaglio pacchetti'!$AB$1:$AB$530, _xlfn.AGGREGATE(15, 6, (ROW($1:$345))/(ISNUMBER(SEARCH('[1]Dettaglio pacchetti'!$AB$1:$AB$530, $C137))), 1)) &amp; "*", '[1]Dettaglio pacchetti'!$A$1:$N$530, 13, FALSE) &amp; "", "")</f>
        <v/>
      </c>
      <c r="AB137" t="str" cm="1">
        <f t="array" ref="AB137">IF(ISNUMBER(SEARCH("dev.azure.com", AA137)), IFERROR(VLOOKUP(INDEX('[1]Dettaglio pacchetti'!$AB$1:$AB$530, _xlfn.AGGREGATE(15, 6, (ROW($1:$345))/(ISNUMBER(SEARCH('[1]Dettaglio pacchetti'!$AB$1:$AB$530, $C137))), 1)) &amp; "*", '[1]Dettaglio pacchetti'!$A$1:$N$530, 1, FALSE) &amp; "", ""), "")</f>
        <v/>
      </c>
      <c r="AC137" t="str" cm="1">
        <f t="array" ref="AC137">IFERROR(
    VLOOKUP(
        INDEX('[1]Dettaglio pacchetti'!$AB$1:$AB$530, _xlfn.AGGREGATE(15,6,ROW($1:$345)/(ISNUMBER(SEARCH('[1]Dettaglio pacchetti'!$AB$1:$AB$530,$C137))),1)) &amp; "*",
        '[1]Dettaglio pacchetti'!$A$1:$I$530,
        7,
        FALSE
    ),
    IFERROR(VLOOKUP($C137, '[1]Dettaglio pacchetti'!$A$1:$I$530, 7, FALSE), "")
)</f>
        <v/>
      </c>
      <c r="AD137" t="str" cm="1">
        <f t="array" ref="AD137">IFERROR(
    VLOOKUP(
        INDEX('[1]Dettaglio pacchetti'!$AB$1:$AB$530, _xlfn.AGGREGATE(15,6,ROW($1:$345)/(ISNUMBER(SEARCH('[1]Dettaglio pacchetti'!$AB$1:$AB$530,$C137))),1)) &amp; "*",
        '[1]Dettaglio pacchetti'!$A$1:$I$530,
        6,
        FALSE
    ),
    IFERROR(VLOOKUP($C137, '[1]Dettaglio pacchetti'!$A$1:$I$530, 6, FALSE), "")
)</f>
        <v/>
      </c>
    </row>
    <row r="138" spans="3:30" hidden="1" x14ac:dyDescent="0.3">
      <c r="C138" s="22"/>
      <c r="D138" s="20" t="str" cm="1">
        <f t="array" ref="D138">IFERROR(
    _xlfn.LET(
        _xlpm.risultato,
        IFERROR(
            _xlfn.XLOOKUP(TRIM(UPPER(G138)),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pacchetti'!$E$1:$E$530))=TRIM(UPPER(G138)),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138" s="14" t="str" cm="1">
        <f t="array" ref="E138">IF(TRIM($B138)="SG-ANAGRAFE", "Bugni Batte",
    IF(TRIM($B138)="DW01A", "Cauda",
        IFERROR(
            VLOOKUP(
                INDEX('[1]Dettaglio pacchetti'!$AB$1:$AB$530,
                    _xlfn.AGGREGATE(15, 6,
                        (ROW($1:$345))/(ISNUMBER(SEARCH('[1]Dettaglio pacchetti'!$AB$1:$AB$530, $C138))),
                        1)
                ) &amp; "*",
                '[1]Dettaglio pacchetti'!$A$1:$I$530,
                3,
                FALSE
            ),
            IFERROR(VLOOKUP($C138, '[1]Dettaglio pacchetti'!$A$1:$I$530, 3, FALSE), "")
        )
    )
)</f>
        <v/>
      </c>
      <c r="F138" s="14" t="str" cm="1">
        <f t="array" ref="F138">IF(TRIM($B138)="DW01A", "ETL - EDW Estrattori",
    IFERROR(
        VLOOKUP(
            INDEX('[1]Dettaglio pacchetti'!$AB$1:$AB$530,
                _xlfn.AGGREGATE(15, 6,
                    (ROW($1:$345))/(ISNUMBER(SEARCH('[1]Dettaglio pacchetti'!$AB$1:$AB$530, $C138))),
                    1)
            ) &amp; "*",
            '[1]Dettaglio pacchetti'!$A$1:$I$530,
            4,
            FALSE
        ),
        IFERROR(VLOOKUP($C138, '[1]Dettaglio pacchetti'!$A$1:$I$530, 4, FALSE), "")
    )
)</f>
        <v/>
      </c>
      <c r="G138" s="14" t="str" cm="1">
        <f t="array" ref="G138">IF(TRIM($B138)="DW01A", "ETL - EDW Estrattori",
    IF(TRIM($B138)="SG-ANAGRAFE", "SIGEA Anagrafe",
        IFERROR(
            VLOOKUP(
                INDEX('[1]Dettaglio pacchetti'!$AB$1:$AB$530,
                    _xlfn.AGGREGATE(15, 6,
                        (ROW($1:$345))/(ISNUMBER(SEARCH('[1]Dettaglio pacchetti'!$AB$1:$AB$530, $C138))),
                        1)
                ) &amp; "*",
                '[1]Dettaglio pacchetti'!$A$1:$I$530,
                5,
                FALSE
            ),
            IFERROR(VLOOKUP($C138, '[1]Dettaglio pacchetti'!$A$1:$I$530, 5, FALSE), "")
        )
    )
)</f>
        <v/>
      </c>
      <c r="H138" s="14" t="str" cm="1">
        <f t="array" ref="H138">IFERROR(
    VLOOKUP(
        INDEX('[1]Dettaglio pacchetti'!$AB$1:$AB$530,
            _xlfn.AGGREGATE(15, 6,
                (ROW($1:$345))/(ISNUMBER(SEARCH('[1]Dettaglio pacchetti'!$AB$1:$AB$530, $C138))),
                1)
        ) &amp; "*",
        '[1]Dettaglio pacchetti'!$A$1:$I$530,
        6,
        FALSE
    ),
    IFERROR(VLOOKUP($C138, '[1]Dettaglio pacchetti'!$A$1:$I$530, 6, FALSE), "")
)</f>
        <v/>
      </c>
      <c r="I138" s="7" t="str">
        <f t="shared" si="9"/>
        <v/>
      </c>
      <c r="J138" t="str">
        <f t="shared" si="7"/>
        <v/>
      </c>
      <c r="K138" t="str">
        <f t="shared" si="8"/>
        <v/>
      </c>
      <c r="L138" s="14" t="str" cm="1">
        <f t="array" ref="L138">IFERROR(
    VLOOKUP(
        INDEX('[1]Dettaglio pacchetti'!$AB$1:$AB$530,
            _xlfn.AGGREGATE(15, 6,
                ROW($1:$345)/(ISNUMBER(SEARCH('[1]Dettaglio pacchetti'!$AB$1:$AB$530, $C138))),
                1)
        ) &amp; "*",
        '[1]Dettaglio pacchetti'!$A$1:$I$530,
        8,
        FALSE
    ),
    IFERROR(VLOOKUP($C138, '[1]Dettaglio pacchetti'!$A$1:$I$530, 8, FALSE), "")
)</f>
        <v/>
      </c>
      <c r="M138" s="14" t="str" cm="1">
        <f t="array" ref="M138">IFERROR(
    VLOOKUP(
        INDEX('[1]Dettaglio pacchetti'!$AB$1:$AB$530,
            _xlfn.AGGREGATE(15, 6,
                ROW($1:$345)/(ISNUMBER(SEARCH('[1]Dettaglio pacchetti'!$AB$1:$AB$530, $C138))),
                1)
        ) &amp; "*",
        '[1]Dettaglio pacchetti'!$A$1:$I$530,
        9,
        FALSE
    ),
    IFERROR(VLOOKUP($C138, '[1]Dettaglio pacchetti'!$A$1:$I$530, 9, FALSE), "")
)</f>
        <v/>
      </c>
      <c r="N138" s="7"/>
      <c r="P138" s="6"/>
      <c r="AA138" t="str" cm="1">
        <f t="array" ref="AA138">IFERROR(VLOOKUP(INDEX('[1]Dettaglio pacchetti'!$AB$1:$AB$530, _xlfn.AGGREGATE(15, 6, (ROW($1:$345))/(ISNUMBER(SEARCH('[1]Dettaglio pacchetti'!$AB$1:$AB$530, $C138))), 1)) &amp; "*", '[1]Dettaglio pacchetti'!$A$1:$N$530, 13, FALSE) &amp; "", "")</f>
        <v/>
      </c>
      <c r="AB138" t="str" cm="1">
        <f t="array" ref="AB138">IF(ISNUMBER(SEARCH("dev.azure.com", AA138)), IFERROR(VLOOKUP(INDEX('[1]Dettaglio pacchetti'!$AB$1:$AB$530, _xlfn.AGGREGATE(15, 6, (ROW($1:$345))/(ISNUMBER(SEARCH('[1]Dettaglio pacchetti'!$AB$1:$AB$530, $C138))), 1)) &amp; "*", '[1]Dettaglio pacchetti'!$A$1:$N$530, 1, FALSE) &amp; "", ""), "")</f>
        <v/>
      </c>
      <c r="AC138" t="str" cm="1">
        <f t="array" ref="AC138">IFERROR(
    VLOOKUP(
        INDEX('[1]Dettaglio pacchetti'!$AB$1:$AB$530, _xlfn.AGGREGATE(15,6,ROW($1:$345)/(ISNUMBER(SEARCH('[1]Dettaglio pacchetti'!$AB$1:$AB$530,$C138))),1)) &amp; "*",
        '[1]Dettaglio pacchetti'!$A$1:$I$530,
        7,
        FALSE
    ),
    IFERROR(VLOOKUP($C138, '[1]Dettaglio pacchetti'!$A$1:$I$530, 7, FALSE), "")
)</f>
        <v/>
      </c>
      <c r="AD138" t="str" cm="1">
        <f t="array" ref="AD138">IFERROR(
    VLOOKUP(
        INDEX('[1]Dettaglio pacchetti'!$AB$1:$AB$530, _xlfn.AGGREGATE(15,6,ROW($1:$345)/(ISNUMBER(SEARCH('[1]Dettaglio pacchetti'!$AB$1:$AB$530,$C138))),1)) &amp; "*",
        '[1]Dettaglio pacchetti'!$A$1:$I$530,
        6,
        FALSE
    ),
    IFERROR(VLOOKUP($C138, '[1]Dettaglio pacchetti'!$A$1:$I$530, 6, FALSE), "")
)</f>
        <v/>
      </c>
    </row>
    <row r="139" spans="3:30" hidden="1" x14ac:dyDescent="0.3">
      <c r="C139" s="22"/>
      <c r="D139" s="20" t="str" cm="1">
        <f t="array" ref="D139">IFERROR(
    _xlfn.LET(
        _xlpm.risultato,
        IFERROR(
            _xlfn.XLOOKUP(TRIM(UPPER(G139)),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pacchetti'!$E$1:$E$530))=TRIM(UPPER(G139)),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139" s="14" t="str" cm="1">
        <f t="array" ref="E139">IF(TRIM($B139)="SG-ANAGRAFE", "Bugni Batte",
    IF(TRIM($B139)="DW01A", "Cauda",
        IFERROR(
            VLOOKUP(
                INDEX('[1]Dettaglio pacchetti'!$AB$1:$AB$530,
                    _xlfn.AGGREGATE(15, 6,
                        (ROW($1:$345))/(ISNUMBER(SEARCH('[1]Dettaglio pacchetti'!$AB$1:$AB$530, $C139))),
                        1)
                ) &amp; "*",
                '[1]Dettaglio pacchetti'!$A$1:$I$530,
                3,
                FALSE
            ),
            IFERROR(VLOOKUP($C139, '[1]Dettaglio pacchetti'!$A$1:$I$530, 3, FALSE), "")
        )
    )
)</f>
        <v/>
      </c>
      <c r="F139" s="14" t="str" cm="1">
        <f t="array" ref="F139">IF(TRIM($B139)="DW01A", "ETL - EDW Estrattori",
    IFERROR(
        VLOOKUP(
            INDEX('[1]Dettaglio pacchetti'!$AB$1:$AB$530,
                _xlfn.AGGREGATE(15, 6,
                    (ROW($1:$345))/(ISNUMBER(SEARCH('[1]Dettaglio pacchetti'!$AB$1:$AB$530, $C139))),
                    1)
            ) &amp; "*",
            '[1]Dettaglio pacchetti'!$A$1:$I$530,
            4,
            FALSE
        ),
        IFERROR(VLOOKUP($C139, '[1]Dettaglio pacchetti'!$A$1:$I$530, 4, FALSE), "")
    )
)</f>
        <v/>
      </c>
      <c r="G139" s="14" t="str" cm="1">
        <f t="array" ref="G139">IF(TRIM($B139)="DW01A", "ETL - EDW Estrattori",
    IF(TRIM($B139)="SG-ANAGRAFE", "SIGEA Anagrafe",
        IFERROR(
            VLOOKUP(
                INDEX('[1]Dettaglio pacchetti'!$AB$1:$AB$530,
                    _xlfn.AGGREGATE(15, 6,
                        (ROW($1:$345))/(ISNUMBER(SEARCH('[1]Dettaglio pacchetti'!$AB$1:$AB$530, $C139))),
                        1)
                ) &amp; "*",
                '[1]Dettaglio pacchetti'!$A$1:$I$530,
                5,
                FALSE
            ),
            IFERROR(VLOOKUP($C139, '[1]Dettaglio pacchetti'!$A$1:$I$530, 5, FALSE), "")
        )
    )
)</f>
        <v/>
      </c>
      <c r="H139" s="14" t="str" cm="1">
        <f t="array" ref="H139">IFERROR(
    VLOOKUP(
        INDEX('[1]Dettaglio pacchetti'!$AB$1:$AB$530,
            _xlfn.AGGREGATE(15, 6,
                (ROW($1:$345))/(ISNUMBER(SEARCH('[1]Dettaglio pacchetti'!$AB$1:$AB$530, $C139))),
                1)
        ) &amp; "*",
        '[1]Dettaglio pacchetti'!$A$1:$I$530,
        6,
        FALSE
    ),
    IFERROR(VLOOKUP($C139, '[1]Dettaglio pacchetti'!$A$1:$I$530, 6, FALSE), "")
)</f>
        <v/>
      </c>
      <c r="I139" s="7" t="str">
        <f t="shared" si="9"/>
        <v/>
      </c>
      <c r="J139" t="str">
        <f t="shared" si="7"/>
        <v/>
      </c>
      <c r="K139" t="str">
        <f t="shared" si="8"/>
        <v/>
      </c>
      <c r="L139" s="14" t="str" cm="1">
        <f t="array" ref="L139">IFERROR(
    VLOOKUP(
        INDEX('[1]Dettaglio pacchetti'!$AB$1:$AB$530,
            _xlfn.AGGREGATE(15, 6,
                ROW($1:$345)/(ISNUMBER(SEARCH('[1]Dettaglio pacchetti'!$AB$1:$AB$530, $C139))),
                1)
        ) &amp; "*",
        '[1]Dettaglio pacchetti'!$A$1:$I$530,
        8,
        FALSE
    ),
    IFERROR(VLOOKUP($C139, '[1]Dettaglio pacchetti'!$A$1:$I$530, 8, FALSE), "")
)</f>
        <v/>
      </c>
      <c r="M139" s="14" t="str" cm="1">
        <f t="array" ref="M139">IFERROR(
    VLOOKUP(
        INDEX('[1]Dettaglio pacchetti'!$AB$1:$AB$530,
            _xlfn.AGGREGATE(15, 6,
                ROW($1:$345)/(ISNUMBER(SEARCH('[1]Dettaglio pacchetti'!$AB$1:$AB$530, $C139))),
                1)
        ) &amp; "*",
        '[1]Dettaglio pacchetti'!$A$1:$I$530,
        9,
        FALSE
    ),
    IFERROR(VLOOKUP($C139, '[1]Dettaglio pacchetti'!$A$1:$I$530, 9, FALSE), "")
)</f>
        <v/>
      </c>
      <c r="N139" s="7"/>
      <c r="P139" s="6"/>
      <c r="AA139" t="str" cm="1">
        <f t="array" ref="AA139">IFERROR(VLOOKUP(INDEX('[1]Dettaglio pacchetti'!$AB$1:$AB$530, _xlfn.AGGREGATE(15, 6, (ROW($1:$345))/(ISNUMBER(SEARCH('[1]Dettaglio pacchetti'!$AB$1:$AB$530, $C139))), 1)) &amp; "*", '[1]Dettaglio pacchetti'!$A$1:$N$530, 13, FALSE) &amp; "", "")</f>
        <v/>
      </c>
      <c r="AB139" t="str" cm="1">
        <f t="array" ref="AB139">IF(ISNUMBER(SEARCH("dev.azure.com", AA139)), IFERROR(VLOOKUP(INDEX('[1]Dettaglio pacchetti'!$AB$1:$AB$530, _xlfn.AGGREGATE(15, 6, (ROW($1:$345))/(ISNUMBER(SEARCH('[1]Dettaglio pacchetti'!$AB$1:$AB$530, $C139))), 1)) &amp; "*", '[1]Dettaglio pacchetti'!$A$1:$N$530, 1, FALSE) &amp; "", ""), "")</f>
        <v/>
      </c>
      <c r="AC139" t="str" cm="1">
        <f t="array" ref="AC139">IFERROR(
    VLOOKUP(
        INDEX('[1]Dettaglio pacchetti'!$AB$1:$AB$530, _xlfn.AGGREGATE(15,6,ROW($1:$345)/(ISNUMBER(SEARCH('[1]Dettaglio pacchetti'!$AB$1:$AB$530,$C139))),1)) &amp; "*",
        '[1]Dettaglio pacchetti'!$A$1:$I$530,
        7,
        FALSE
    ),
    IFERROR(VLOOKUP($C139, '[1]Dettaglio pacchetti'!$A$1:$I$530, 7, FALSE), "")
)</f>
        <v/>
      </c>
      <c r="AD139" t="str" cm="1">
        <f t="array" ref="AD139">IFERROR(
    VLOOKUP(
        INDEX('[1]Dettaglio pacchetti'!$AB$1:$AB$530, _xlfn.AGGREGATE(15,6,ROW($1:$345)/(ISNUMBER(SEARCH('[1]Dettaglio pacchetti'!$AB$1:$AB$530,$C139))),1)) &amp; "*",
        '[1]Dettaglio pacchetti'!$A$1:$I$530,
        6,
        FALSE
    ),
    IFERROR(VLOOKUP($C139, '[1]Dettaglio pacchetti'!$A$1:$I$530, 6, FALSE), "")
)</f>
        <v/>
      </c>
    </row>
    <row r="140" spans="3:30" hidden="1" x14ac:dyDescent="0.3">
      <c r="C140" s="22"/>
      <c r="D140" s="20" t="str" cm="1">
        <f t="array" ref="D140">IFERROR(
    _xlfn.LET(
        _xlpm.risultato,
        IFERROR(
            _xlfn.XLOOKUP(TRIM(UPPER(G140)),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pacchetti'!$E$1:$E$530))=TRIM(UPPER(G140)),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140" s="14" t="str" cm="1">
        <f t="array" ref="E140">IF(TRIM($B140)="SG-ANAGRAFE", "Bugni Batte",
    IF(TRIM($B140)="DW01A", "Cauda",
        IFERROR(
            VLOOKUP(
                INDEX('[1]Dettaglio pacchetti'!$AB$1:$AB$530,
                    _xlfn.AGGREGATE(15, 6,
                        (ROW($1:$345))/(ISNUMBER(SEARCH('[1]Dettaglio pacchetti'!$AB$1:$AB$530, $C140))),
                        1)
                ) &amp; "*",
                '[1]Dettaglio pacchetti'!$A$1:$I$530,
                3,
                FALSE
            ),
            IFERROR(VLOOKUP($C140, '[1]Dettaglio pacchetti'!$A$1:$I$530, 3, FALSE), "")
        )
    )
)</f>
        <v/>
      </c>
      <c r="F140" s="14" t="str" cm="1">
        <f t="array" ref="F140">IF(TRIM($B140)="DW01A", "ETL - EDW Estrattori",
    IFERROR(
        VLOOKUP(
            INDEX('[1]Dettaglio pacchetti'!$AB$1:$AB$530,
                _xlfn.AGGREGATE(15, 6,
                    (ROW($1:$345))/(ISNUMBER(SEARCH('[1]Dettaglio pacchetti'!$AB$1:$AB$530, $C140))),
                    1)
            ) &amp; "*",
            '[1]Dettaglio pacchetti'!$A$1:$I$530,
            4,
            FALSE
        ),
        IFERROR(VLOOKUP($C140, '[1]Dettaglio pacchetti'!$A$1:$I$530, 4, FALSE), "")
    )
)</f>
        <v/>
      </c>
      <c r="G140" s="14" t="str" cm="1">
        <f t="array" ref="G140">IF(TRIM($B140)="DW01A", "ETL - EDW Estrattori",
    IF(TRIM($B140)="SG-ANAGRAFE", "SIGEA Anagrafe",
        IFERROR(
            VLOOKUP(
                INDEX('[1]Dettaglio pacchetti'!$AB$1:$AB$530,
                    _xlfn.AGGREGATE(15, 6,
                        (ROW($1:$345))/(ISNUMBER(SEARCH('[1]Dettaglio pacchetti'!$AB$1:$AB$530, $C140))),
                        1)
                ) &amp; "*",
                '[1]Dettaglio pacchetti'!$A$1:$I$530,
                5,
                FALSE
            ),
            IFERROR(VLOOKUP($C140, '[1]Dettaglio pacchetti'!$A$1:$I$530, 5, FALSE), "")
        )
    )
)</f>
        <v/>
      </c>
      <c r="H140" s="14" t="str" cm="1">
        <f t="array" ref="H140">IFERROR(
    VLOOKUP(
        INDEX('[1]Dettaglio pacchetti'!$AB$1:$AB$530,
            _xlfn.AGGREGATE(15, 6,
                (ROW($1:$345))/(ISNUMBER(SEARCH('[1]Dettaglio pacchetti'!$AB$1:$AB$530, $C140))),
                1)
        ) &amp; "*",
        '[1]Dettaglio pacchetti'!$A$1:$I$530,
        6,
        FALSE
    ),
    IFERROR(VLOOKUP($C140, '[1]Dettaglio pacchetti'!$A$1:$I$530, 6, FALSE), "")
)</f>
        <v/>
      </c>
      <c r="I140" s="7" t="str">
        <f t="shared" si="9"/>
        <v/>
      </c>
      <c r="J140" t="str">
        <f t="shared" si="7"/>
        <v/>
      </c>
      <c r="K140" t="str">
        <f t="shared" si="8"/>
        <v/>
      </c>
      <c r="L140" s="14" t="str" cm="1">
        <f t="array" ref="L140">IFERROR(
    VLOOKUP(
        INDEX('[1]Dettaglio pacchetti'!$AB$1:$AB$530,
            _xlfn.AGGREGATE(15, 6,
                ROW($1:$345)/(ISNUMBER(SEARCH('[1]Dettaglio pacchetti'!$AB$1:$AB$530, $C140))),
                1)
        ) &amp; "*",
        '[1]Dettaglio pacchetti'!$A$1:$I$530,
        8,
        FALSE
    ),
    IFERROR(VLOOKUP($C140, '[1]Dettaglio pacchetti'!$A$1:$I$530, 8, FALSE), "")
)</f>
        <v/>
      </c>
      <c r="M140" s="14" t="str" cm="1">
        <f t="array" ref="M140">IFERROR(
    VLOOKUP(
        INDEX('[1]Dettaglio pacchetti'!$AB$1:$AB$530,
            _xlfn.AGGREGATE(15, 6,
                ROW($1:$345)/(ISNUMBER(SEARCH('[1]Dettaglio pacchetti'!$AB$1:$AB$530, $C140))),
                1)
        ) &amp; "*",
        '[1]Dettaglio pacchetti'!$A$1:$I$530,
        9,
        FALSE
    ),
    IFERROR(VLOOKUP($C140, '[1]Dettaglio pacchetti'!$A$1:$I$530, 9, FALSE), "")
)</f>
        <v/>
      </c>
      <c r="N140" s="7"/>
      <c r="P140" s="6"/>
      <c r="AA140" t="str" cm="1">
        <f t="array" ref="AA140">IFERROR(VLOOKUP(INDEX('[1]Dettaglio pacchetti'!$AB$1:$AB$530, _xlfn.AGGREGATE(15, 6, (ROW($1:$345))/(ISNUMBER(SEARCH('[1]Dettaglio pacchetti'!$AB$1:$AB$530, $C140))), 1)) &amp; "*", '[1]Dettaglio pacchetti'!$A$1:$N$530, 13, FALSE) &amp; "", "")</f>
        <v/>
      </c>
      <c r="AB140" t="str" cm="1">
        <f t="array" ref="AB140">IF(ISNUMBER(SEARCH("dev.azure.com", AA140)), IFERROR(VLOOKUP(INDEX('[1]Dettaglio pacchetti'!$AB$1:$AB$530, _xlfn.AGGREGATE(15, 6, (ROW($1:$345))/(ISNUMBER(SEARCH('[1]Dettaglio pacchetti'!$AB$1:$AB$530, $C140))), 1)) &amp; "*", '[1]Dettaglio pacchetti'!$A$1:$N$530, 1, FALSE) &amp; "", ""), "")</f>
        <v/>
      </c>
      <c r="AC140" t="str" cm="1">
        <f t="array" ref="AC140">IFERROR(
    VLOOKUP(
        INDEX('[1]Dettaglio pacchetti'!$AB$1:$AB$530, _xlfn.AGGREGATE(15,6,ROW($1:$345)/(ISNUMBER(SEARCH('[1]Dettaglio pacchetti'!$AB$1:$AB$530,$C140))),1)) &amp; "*",
        '[1]Dettaglio pacchetti'!$A$1:$I$530,
        7,
        FALSE
    ),
    IFERROR(VLOOKUP($C140, '[1]Dettaglio pacchetti'!$A$1:$I$530, 7, FALSE), "")
)</f>
        <v/>
      </c>
      <c r="AD140" t="str" cm="1">
        <f t="array" ref="AD140">IFERROR(
    VLOOKUP(
        INDEX('[1]Dettaglio pacchetti'!$AB$1:$AB$530, _xlfn.AGGREGATE(15,6,ROW($1:$345)/(ISNUMBER(SEARCH('[1]Dettaglio pacchetti'!$AB$1:$AB$530,$C140))),1)) &amp; "*",
        '[1]Dettaglio pacchetti'!$A$1:$I$530,
        6,
        FALSE
    ),
    IFERROR(VLOOKUP($C140, '[1]Dettaglio pacchetti'!$A$1:$I$530, 6, FALSE), "")
)</f>
        <v/>
      </c>
    </row>
    <row r="141" spans="3:30" hidden="1" x14ac:dyDescent="0.3">
      <c r="C141" s="22"/>
      <c r="D141" s="20" t="str" cm="1">
        <f t="array" ref="D141">IFERROR(
    _xlfn.LET(
        _xlpm.risultato,
        IFERROR(
            _xlfn.XLOOKUP(TRIM(UPPER(G141)),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pacchetti'!$E$1:$E$530))=TRIM(UPPER(G141)),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141" s="14" t="str" cm="1">
        <f t="array" ref="E141">IF(TRIM($B141)="SG-ANAGRAFE", "Bugni Batte",
    IF(TRIM($B141)="DW01A", "Cauda",
        IFERROR(
            VLOOKUP(
                INDEX('[1]Dettaglio pacchetti'!$AB$1:$AB$530,
                    _xlfn.AGGREGATE(15, 6,
                        (ROW($1:$345))/(ISNUMBER(SEARCH('[1]Dettaglio pacchetti'!$AB$1:$AB$530, $C141))),
                        1)
                ) &amp; "*",
                '[1]Dettaglio pacchetti'!$A$1:$I$530,
                3,
                FALSE
            ),
            IFERROR(VLOOKUP($C141, '[1]Dettaglio pacchetti'!$A$1:$I$530, 3, FALSE), "")
        )
    )
)</f>
        <v/>
      </c>
      <c r="F141" s="14" t="str" cm="1">
        <f t="array" ref="F141">IF(TRIM($B141)="DW01A", "ETL - EDW Estrattori",
    IFERROR(
        VLOOKUP(
            INDEX('[1]Dettaglio pacchetti'!$AB$1:$AB$530,
                _xlfn.AGGREGATE(15, 6,
                    (ROW($1:$345))/(ISNUMBER(SEARCH('[1]Dettaglio pacchetti'!$AB$1:$AB$530, $C141))),
                    1)
            ) &amp; "*",
            '[1]Dettaglio pacchetti'!$A$1:$I$530,
            4,
            FALSE
        ),
        IFERROR(VLOOKUP($C141, '[1]Dettaglio pacchetti'!$A$1:$I$530, 4, FALSE), "")
    )
)</f>
        <v/>
      </c>
      <c r="G141" s="14" t="str" cm="1">
        <f t="array" ref="G141">IF(TRIM($B141)="DW01A", "ETL - EDW Estrattori",
    IF(TRIM($B141)="SG-ANAGRAFE", "SIGEA Anagrafe",
        IFERROR(
            VLOOKUP(
                INDEX('[1]Dettaglio pacchetti'!$AB$1:$AB$530,
                    _xlfn.AGGREGATE(15, 6,
                        (ROW($1:$345))/(ISNUMBER(SEARCH('[1]Dettaglio pacchetti'!$AB$1:$AB$530, $C141))),
                        1)
                ) &amp; "*",
                '[1]Dettaglio pacchetti'!$A$1:$I$530,
                5,
                FALSE
            ),
            IFERROR(VLOOKUP($C141, '[1]Dettaglio pacchetti'!$A$1:$I$530, 5, FALSE), "")
        )
    )
)</f>
        <v/>
      </c>
      <c r="H141" s="14" t="str" cm="1">
        <f t="array" ref="H141">IFERROR(
    VLOOKUP(
        INDEX('[1]Dettaglio pacchetti'!$AB$1:$AB$530,
            _xlfn.AGGREGATE(15, 6,
                (ROW($1:$345))/(ISNUMBER(SEARCH('[1]Dettaglio pacchetti'!$AB$1:$AB$530, $C141))),
                1)
        ) &amp; "*",
        '[1]Dettaglio pacchetti'!$A$1:$I$530,
        6,
        FALSE
    ),
    IFERROR(VLOOKUP($C141, '[1]Dettaglio pacchetti'!$A$1:$I$530, 6, FALSE), "")
)</f>
        <v/>
      </c>
      <c r="I141" s="7" t="str">
        <f t="shared" si="9"/>
        <v/>
      </c>
      <c r="J141" t="str">
        <f t="shared" si="7"/>
        <v/>
      </c>
      <c r="K141" t="str">
        <f t="shared" si="8"/>
        <v/>
      </c>
      <c r="L141" s="14" t="str" cm="1">
        <f t="array" ref="L141">IFERROR(
    VLOOKUP(
        INDEX('[1]Dettaglio pacchetti'!$AB$1:$AB$530,
            _xlfn.AGGREGATE(15, 6,
                ROW($1:$345)/(ISNUMBER(SEARCH('[1]Dettaglio pacchetti'!$AB$1:$AB$530, $C141))),
                1)
        ) &amp; "*",
        '[1]Dettaglio pacchetti'!$A$1:$I$530,
        8,
        FALSE
    ),
    IFERROR(VLOOKUP($C141, '[1]Dettaglio pacchetti'!$A$1:$I$530, 8, FALSE), "")
)</f>
        <v/>
      </c>
      <c r="M141" s="14" t="str" cm="1">
        <f t="array" ref="M141">IFERROR(
    VLOOKUP(
        INDEX('[1]Dettaglio pacchetti'!$AB$1:$AB$530,
            _xlfn.AGGREGATE(15, 6,
                ROW($1:$345)/(ISNUMBER(SEARCH('[1]Dettaglio pacchetti'!$AB$1:$AB$530, $C141))),
                1)
        ) &amp; "*",
        '[1]Dettaglio pacchetti'!$A$1:$I$530,
        9,
        FALSE
    ),
    IFERROR(VLOOKUP($C141, '[1]Dettaglio pacchetti'!$A$1:$I$530, 9, FALSE), "")
)</f>
        <v/>
      </c>
      <c r="N141" s="7"/>
      <c r="P141" s="6"/>
      <c r="AC141" t="str" cm="1">
        <f t="array" ref="AC141">IFERROR(
    VLOOKUP(
        INDEX('[1]Dettaglio pacchetti'!$AB$1:$AB$530, _xlfn.AGGREGATE(15,6,ROW($1:$345)/(ISNUMBER(SEARCH('[1]Dettaglio pacchetti'!$AB$1:$AB$530,$C141))),1)) &amp; "*",
        '[1]Dettaglio pacchetti'!$A$1:$I$530,
        7,
        FALSE
    ),
    IFERROR(VLOOKUP($C141, '[1]Dettaglio pacchetti'!$A$1:$I$530, 7, FALSE), "")
)</f>
        <v/>
      </c>
    </row>
    <row r="142" spans="3:30" hidden="1" x14ac:dyDescent="0.3">
      <c r="C142" s="22"/>
      <c r="D142" s="20" t="str" cm="1">
        <f t="array" ref="D142">IFERROR(
    _xlfn.LET(
        _xlpm.risultato,
        IFERROR(
            _xlfn.XLOOKUP(TRIM(UPPER(G142)),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pacchetti'!$E$1:$E$530))=TRIM(UPPER(G142)),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142" s="14" t="str" cm="1">
        <f t="array" ref="E142">IF(TRIM($B142)="SG-ANAGRAFE", "Bugni Batte",
    IF(TRIM($B142)="DW01A", "Cauda",
        IFERROR(
            VLOOKUP(
                INDEX('[1]Dettaglio pacchetti'!$AB$1:$AB$530,
                    _xlfn.AGGREGATE(15, 6,
                        (ROW($1:$345))/(ISNUMBER(SEARCH('[1]Dettaglio pacchetti'!$AB$1:$AB$530, $C142))),
                        1)
                ) &amp; "*",
                '[1]Dettaglio pacchetti'!$A$1:$I$530,
                3,
                FALSE
            ),
            IFERROR(VLOOKUP($C142, '[1]Dettaglio pacchetti'!$A$1:$I$530, 3, FALSE), "")
        )
    )
)</f>
        <v/>
      </c>
      <c r="F142" s="14" t="str" cm="1">
        <f t="array" ref="F142">IF(TRIM($B142)="DW01A", "ETL - EDW Estrattori",
    IFERROR(
        VLOOKUP(
            INDEX('[1]Dettaglio pacchetti'!$AB$1:$AB$530,
                _xlfn.AGGREGATE(15, 6,
                    (ROW($1:$345))/(ISNUMBER(SEARCH('[1]Dettaglio pacchetti'!$AB$1:$AB$530, $C142))),
                    1)
            ) &amp; "*",
            '[1]Dettaglio pacchetti'!$A$1:$I$530,
            4,
            FALSE
        ),
        IFERROR(VLOOKUP($C142, '[1]Dettaglio pacchetti'!$A$1:$I$530, 4, FALSE), "")
    )
)</f>
        <v/>
      </c>
      <c r="G142" s="14" t="str" cm="1">
        <f t="array" ref="G142">IF(TRIM($B142)="DW01A", "ETL - EDW Estrattori",
    IF(TRIM($B142)="SG-ANAGRAFE", "SIGEA Anagrafe",
        IFERROR(
            VLOOKUP(
                INDEX('[1]Dettaglio pacchetti'!$AB$1:$AB$530,
                    _xlfn.AGGREGATE(15, 6,
                        (ROW($1:$345))/(ISNUMBER(SEARCH('[1]Dettaglio pacchetti'!$AB$1:$AB$530, $C142))),
                        1)
                ) &amp; "*",
                '[1]Dettaglio pacchetti'!$A$1:$I$530,
                5,
                FALSE
            ),
            IFERROR(VLOOKUP($C142, '[1]Dettaglio pacchetti'!$A$1:$I$530, 5, FALSE), "")
        )
    )
)</f>
        <v/>
      </c>
      <c r="H142" s="14" t="str" cm="1">
        <f t="array" ref="H142">IFERROR(
    VLOOKUP(
        INDEX('[1]Dettaglio pacchetti'!$AB$1:$AB$530,
            _xlfn.AGGREGATE(15, 6,
                (ROW($1:$345))/(ISNUMBER(SEARCH('[1]Dettaglio pacchetti'!$AB$1:$AB$530, $C142))),
                1)
        ) &amp; "*",
        '[1]Dettaglio pacchetti'!$A$1:$I$530,
        6,
        FALSE
    ),
    IFERROR(VLOOKUP($C142, '[1]Dettaglio pacchetti'!$A$1:$I$530, 6, FALSE), "")
)</f>
        <v/>
      </c>
      <c r="I142" s="7" t="str">
        <f t="shared" si="9"/>
        <v/>
      </c>
      <c r="J142" t="str">
        <f t="shared" si="7"/>
        <v/>
      </c>
      <c r="K142" t="str">
        <f t="shared" si="8"/>
        <v/>
      </c>
      <c r="L142" s="14" t="str" cm="1">
        <f t="array" ref="L142">IFERROR(
    VLOOKUP(
        INDEX('[1]Dettaglio pacchetti'!$AB$1:$AB$530,
            _xlfn.AGGREGATE(15, 6,
                ROW($1:$345)/(ISNUMBER(SEARCH('[1]Dettaglio pacchetti'!$AB$1:$AB$530, $C142))),
                1)
        ) &amp; "*",
        '[1]Dettaglio pacchetti'!$A$1:$I$530,
        8,
        FALSE
    ),
    IFERROR(VLOOKUP($C142, '[1]Dettaglio pacchetti'!$A$1:$I$530, 8, FALSE), "")
)</f>
        <v/>
      </c>
      <c r="M142" s="14" t="str" cm="1">
        <f t="array" ref="M142">IFERROR(
    VLOOKUP(
        INDEX('[1]Dettaglio pacchetti'!$AB$1:$AB$530,
            _xlfn.AGGREGATE(15, 6,
                ROW($1:$345)/(ISNUMBER(SEARCH('[1]Dettaglio pacchetti'!$AB$1:$AB$530, $C142))),
                1)
        ) &amp; "*",
        '[1]Dettaglio pacchetti'!$A$1:$I$530,
        9,
        FALSE
    ),
    IFERROR(VLOOKUP($C142, '[1]Dettaglio pacchetti'!$A$1:$I$530, 9, FALSE), "")
)</f>
        <v/>
      </c>
      <c r="N142" s="7"/>
      <c r="P142" s="6"/>
      <c r="AC142" t="str" cm="1">
        <f t="array" ref="AC142">IFERROR(
    VLOOKUP(
        INDEX('[1]Dettaglio pacchetti'!$AB$1:$AB$530, _xlfn.AGGREGATE(15,6,ROW($1:$345)/(ISNUMBER(SEARCH('[1]Dettaglio pacchetti'!$AB$1:$AB$530,$C142))),1)) &amp; "*",
        '[1]Dettaglio pacchetti'!$A$1:$I$530,
        7,
        FALSE
    ),
    IFERROR(VLOOKUP($C142, '[1]Dettaglio pacchetti'!$A$1:$I$530, 7, FALSE), "")
)</f>
        <v/>
      </c>
    </row>
    <row r="143" spans="3:30" hidden="1" x14ac:dyDescent="0.3">
      <c r="C143" s="22"/>
      <c r="D143" s="20" t="str" cm="1">
        <f t="array" ref="D143">IFERROR(
    _xlfn.LET(
        _xlpm.risultato,
        IFERROR(
            _xlfn.XLOOKUP(TRIM(UPPER(G143)),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pacchetti'!$E$1:$E$530))=TRIM(UPPER(G143)),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143" s="14" t="str" cm="1">
        <f t="array" ref="E143">IF(TRIM($B143)="SG-ANAGRAFE", "Bugni Batte",
    IF(TRIM($B143)="DW01A", "Cauda",
        IFERROR(
            VLOOKUP(
                INDEX('[1]Dettaglio pacchetti'!$AB$1:$AB$530,
                    _xlfn.AGGREGATE(15, 6,
                        (ROW($1:$345))/(ISNUMBER(SEARCH('[1]Dettaglio pacchetti'!$AB$1:$AB$530, $C143))),
                        1)
                ) &amp; "*",
                '[1]Dettaglio pacchetti'!$A$1:$I$530,
                3,
                FALSE
            ),
            IFERROR(VLOOKUP($C143, '[1]Dettaglio pacchetti'!$A$1:$I$530, 3, FALSE), "")
        )
    )
)</f>
        <v/>
      </c>
      <c r="F143" s="14" t="str" cm="1">
        <f t="array" ref="F143">IF(TRIM($B143)="DW01A", "ETL - EDW Estrattori",
    IFERROR(
        VLOOKUP(
            INDEX('[1]Dettaglio pacchetti'!$AB$1:$AB$530,
                _xlfn.AGGREGATE(15, 6,
                    (ROW($1:$345))/(ISNUMBER(SEARCH('[1]Dettaglio pacchetti'!$AB$1:$AB$530, $C143))),
                    1)
            ) &amp; "*",
            '[1]Dettaglio pacchetti'!$A$1:$I$530,
            4,
            FALSE
        ),
        IFERROR(VLOOKUP($C143, '[1]Dettaglio pacchetti'!$A$1:$I$530, 4, FALSE), "")
    )
)</f>
        <v/>
      </c>
      <c r="G143" s="14" t="str" cm="1">
        <f t="array" ref="G143">IF(TRIM($B143)="DW01A", "ETL - EDW Estrattori",
    IF(TRIM($B143)="SG-ANAGRAFE", "SIGEA Anagrafe",
        IFERROR(
            VLOOKUP(
                INDEX('[1]Dettaglio pacchetti'!$AB$1:$AB$530,
                    _xlfn.AGGREGATE(15, 6,
                        (ROW($1:$345))/(ISNUMBER(SEARCH('[1]Dettaglio pacchetti'!$AB$1:$AB$530, $C143))),
                        1)
                ) &amp; "*",
                '[1]Dettaglio pacchetti'!$A$1:$I$530,
                5,
                FALSE
            ),
            IFERROR(VLOOKUP($C143, '[1]Dettaglio pacchetti'!$A$1:$I$530, 5, FALSE), "")
        )
    )
)</f>
        <v/>
      </c>
      <c r="H143" s="14" t="str" cm="1">
        <f t="array" ref="H143">IFERROR(
    VLOOKUP(
        INDEX('[1]Dettaglio pacchetti'!$AB$1:$AB$530,
            _xlfn.AGGREGATE(15, 6,
                (ROW($1:$345))/(ISNUMBER(SEARCH('[1]Dettaglio pacchetti'!$AB$1:$AB$530, $C143))),
                1)
        ) &amp; "*",
        '[1]Dettaglio pacchetti'!$A$1:$I$530,
        6,
        FALSE
    ),
    IFERROR(VLOOKUP($C143, '[1]Dettaglio pacchetti'!$A$1:$I$530, 6, FALSE), "")
)</f>
        <v/>
      </c>
      <c r="I143" s="7" t="str">
        <f t="shared" si="9"/>
        <v/>
      </c>
      <c r="J143" t="str">
        <f t="shared" si="7"/>
        <v/>
      </c>
      <c r="K143" t="str">
        <f t="shared" si="8"/>
        <v/>
      </c>
      <c r="L143" s="14" t="str" cm="1">
        <f t="array" ref="L143">IFERROR(
    VLOOKUP(
        INDEX('[1]Dettaglio pacchetti'!$AB$1:$AB$530,
            _xlfn.AGGREGATE(15, 6,
                ROW($1:$345)/(ISNUMBER(SEARCH('[1]Dettaglio pacchetti'!$AB$1:$AB$530, $C143))),
                1)
        ) &amp; "*",
        '[1]Dettaglio pacchetti'!$A$1:$I$530,
        8,
        FALSE
    ),
    IFERROR(VLOOKUP($C143, '[1]Dettaglio pacchetti'!$A$1:$I$530, 8, FALSE), "")
)</f>
        <v/>
      </c>
      <c r="M143" s="14" t="str" cm="1">
        <f t="array" ref="M143">IFERROR(
    VLOOKUP(
        INDEX('[1]Dettaglio pacchetti'!$AB$1:$AB$530,
            _xlfn.AGGREGATE(15, 6,
                ROW($1:$345)/(ISNUMBER(SEARCH('[1]Dettaglio pacchetti'!$AB$1:$AB$530, $C143))),
                1)
        ) &amp; "*",
        '[1]Dettaglio pacchetti'!$A$1:$I$530,
        9,
        FALSE
    ),
    IFERROR(VLOOKUP($C143, '[1]Dettaglio pacchetti'!$A$1:$I$530, 9, FALSE), "")
)</f>
        <v/>
      </c>
      <c r="N143" s="7"/>
      <c r="P143" s="6"/>
      <c r="AC143" t="str" cm="1">
        <f t="array" ref="AC143">IFERROR(
    VLOOKUP(
        INDEX('[1]Dettaglio pacchetti'!$AB$1:$AB$530, _xlfn.AGGREGATE(15,6,ROW($1:$345)/(ISNUMBER(SEARCH('[1]Dettaglio pacchetti'!$AB$1:$AB$530,$C143))),1)) &amp; "*",
        '[1]Dettaglio pacchetti'!$A$1:$I$530,
        7,
        FALSE
    ),
    IFERROR(VLOOKUP($C143, '[1]Dettaglio pacchetti'!$A$1:$I$530, 7, FALSE), "")
)</f>
        <v/>
      </c>
    </row>
    <row r="144" spans="3:30" hidden="1" x14ac:dyDescent="0.3">
      <c r="C144" s="22"/>
      <c r="D144" s="20" t="str" cm="1">
        <f t="array" ref="D144">IFERROR(
    _xlfn.LET(
        _xlpm.risultato,
        IFERROR(
            _xlfn.XLOOKUP(TRIM(UPPER(G144)),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pacchetti'!$E$1:$E$530))=TRIM(UPPER(G144)),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144" s="14" t="str" cm="1">
        <f t="array" ref="E144">IF(TRIM($B144)="SG-ANAGRAFE", "Bugni Batte",
    IF(TRIM($B144)="DW01A", "Cauda",
        IFERROR(
            VLOOKUP(
                INDEX('[1]Dettaglio pacchetti'!$AB$1:$AB$530,
                    _xlfn.AGGREGATE(15, 6,
                        (ROW($1:$345))/(ISNUMBER(SEARCH('[1]Dettaglio pacchetti'!$AB$1:$AB$530, $C144))),
                        1)
                ) &amp; "*",
                '[1]Dettaglio pacchetti'!$A$1:$I$530,
                3,
                FALSE
            ),
            IFERROR(VLOOKUP($C144, '[1]Dettaglio pacchetti'!$A$1:$I$530, 3, FALSE), "")
        )
    )
)</f>
        <v/>
      </c>
      <c r="F144" s="14" t="str" cm="1">
        <f t="array" ref="F144">IF(TRIM($B144)="DW01A", "ETL - EDW Estrattori",
    IFERROR(
        VLOOKUP(
            INDEX('[1]Dettaglio pacchetti'!$AB$1:$AB$530,
                _xlfn.AGGREGATE(15, 6,
                    (ROW($1:$345))/(ISNUMBER(SEARCH('[1]Dettaglio pacchetti'!$AB$1:$AB$530, $C144))),
                    1)
            ) &amp; "*",
            '[1]Dettaglio pacchetti'!$A$1:$I$530,
            4,
            FALSE
        ),
        IFERROR(VLOOKUP($C144, '[1]Dettaglio pacchetti'!$A$1:$I$530, 4, FALSE), "")
    )
)</f>
        <v/>
      </c>
      <c r="G144" s="14" t="str" cm="1">
        <f t="array" ref="G144">IF(TRIM($B144)="DW01A", "ETL - EDW Estrattori",
    IF(TRIM($B144)="SG-ANAGRAFE", "SIGEA Anagrafe",
        IFERROR(
            VLOOKUP(
                INDEX('[1]Dettaglio pacchetti'!$AB$1:$AB$530,
                    _xlfn.AGGREGATE(15, 6,
                        (ROW($1:$345))/(ISNUMBER(SEARCH('[1]Dettaglio pacchetti'!$AB$1:$AB$530, $C144))),
                        1)
                ) &amp; "*",
                '[1]Dettaglio pacchetti'!$A$1:$I$530,
                5,
                FALSE
            ),
            IFERROR(VLOOKUP($C144, '[1]Dettaglio pacchetti'!$A$1:$I$530, 5, FALSE), "")
        )
    )
)</f>
        <v/>
      </c>
      <c r="H144" s="14" t="str" cm="1">
        <f t="array" ref="H144">IFERROR(
    VLOOKUP(
        INDEX('[1]Dettaglio pacchetti'!$AB$1:$AB$530,
            _xlfn.AGGREGATE(15, 6,
                (ROW($1:$345))/(ISNUMBER(SEARCH('[1]Dettaglio pacchetti'!$AB$1:$AB$530, $C144))),
                1)
        ) &amp; "*",
        '[1]Dettaglio pacchetti'!$A$1:$I$530,
        6,
        FALSE
    ),
    IFERROR(VLOOKUP($C144, '[1]Dettaglio pacchetti'!$A$1:$I$530, 6, FALSE), "")
)</f>
        <v/>
      </c>
      <c r="I144" s="7" t="str">
        <f t="shared" si="9"/>
        <v/>
      </c>
      <c r="J144" t="str">
        <f t="shared" si="7"/>
        <v/>
      </c>
      <c r="K144" t="str">
        <f t="shared" si="8"/>
        <v/>
      </c>
      <c r="L144" s="14" t="str" cm="1">
        <f t="array" ref="L144">IFERROR(
    VLOOKUP(
        INDEX('[1]Dettaglio pacchetti'!$AB$1:$AB$530,
            _xlfn.AGGREGATE(15, 6,
                ROW($1:$345)/(ISNUMBER(SEARCH('[1]Dettaglio pacchetti'!$AB$1:$AB$530, $C144))),
                1)
        ) &amp; "*",
        '[1]Dettaglio pacchetti'!$A$1:$I$530,
        8,
        FALSE
    ),
    IFERROR(VLOOKUP($C144, '[1]Dettaglio pacchetti'!$A$1:$I$530, 8, FALSE), "")
)</f>
        <v/>
      </c>
      <c r="M144" s="14" t="str" cm="1">
        <f t="array" ref="M144">IFERROR(
    VLOOKUP(
        INDEX('[1]Dettaglio pacchetti'!$AB$1:$AB$530,
            _xlfn.AGGREGATE(15, 6,
                ROW($1:$345)/(ISNUMBER(SEARCH('[1]Dettaglio pacchetti'!$AB$1:$AB$530, $C144))),
                1)
        ) &amp; "*",
        '[1]Dettaglio pacchetti'!$A$1:$I$530,
        9,
        FALSE
    ),
    IFERROR(VLOOKUP($C144, '[1]Dettaglio pacchetti'!$A$1:$I$530, 9, FALSE), "")
)</f>
        <v/>
      </c>
      <c r="N144" s="7"/>
      <c r="P144" s="6"/>
      <c r="AC144" t="str" cm="1">
        <f t="array" ref="AC144">IFERROR(
    VLOOKUP(
        INDEX('[1]Dettaglio pacchetti'!$AB$1:$AB$530, _xlfn.AGGREGATE(15,6,ROW($1:$345)/(ISNUMBER(SEARCH('[1]Dettaglio pacchetti'!$AB$1:$AB$530,$C144))),1)) &amp; "*",
        '[1]Dettaglio pacchetti'!$A$1:$I$530,
        7,
        FALSE
    ),
    IFERROR(VLOOKUP($C144, '[1]Dettaglio pacchetti'!$A$1:$I$530, 7, FALSE), "")
)</f>
        <v/>
      </c>
    </row>
    <row r="145" spans="3:30" hidden="1" x14ac:dyDescent="0.3">
      <c r="C145" s="22"/>
      <c r="D145" s="20" t="str" cm="1">
        <f t="array" ref="D145">IFERROR(
    _xlfn.LET(
        _xlpm.risultato,
        IFERROR(
            _xlfn.XLOOKUP(TRIM(UPPER(G145)),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pacchetti'!$E$1:$E$530))=TRIM(UPPER(G145)),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145" s="14" t="str" cm="1">
        <f t="array" ref="E145">IF(TRIM($B145)="SG-ANAGRAFE", "Bugni Batte",
    IF(TRIM($B145)="DW01A", "Cauda",
        IFERROR(
            VLOOKUP(
                INDEX('[1]Dettaglio pacchetti'!$AB$1:$AB$530,
                    _xlfn.AGGREGATE(15, 6,
                        (ROW($1:$345))/(ISNUMBER(SEARCH('[1]Dettaglio pacchetti'!$AB$1:$AB$530, $C145))),
                        1)
                ) &amp; "*",
                '[1]Dettaglio pacchetti'!$A$1:$I$530,
                3,
                FALSE
            ),
            IFERROR(VLOOKUP($C145, '[1]Dettaglio pacchetti'!$A$1:$I$530, 3, FALSE), "")
        )
    )
)</f>
        <v/>
      </c>
      <c r="F145" s="14" t="str" cm="1">
        <f t="array" ref="F145">IF(TRIM($B145)="DW01A", "ETL - EDW Estrattori",
    IFERROR(
        VLOOKUP(
            INDEX('[1]Dettaglio pacchetti'!$AB$1:$AB$530,
                _xlfn.AGGREGATE(15, 6,
                    (ROW($1:$345))/(ISNUMBER(SEARCH('[1]Dettaglio pacchetti'!$AB$1:$AB$530, $C145))),
                    1)
            ) &amp; "*",
            '[1]Dettaglio pacchetti'!$A$1:$I$530,
            4,
            FALSE
        ),
        IFERROR(VLOOKUP($C145, '[1]Dettaglio pacchetti'!$A$1:$I$530, 4, FALSE), "")
    )
)</f>
        <v/>
      </c>
      <c r="G145" s="14" t="str" cm="1">
        <f t="array" ref="G145">IF(TRIM($B145)="DW01A", "ETL - EDW Estrattori",
    IF(TRIM($B145)="SG-ANAGRAFE", "SIGEA Anagrafe",
        IFERROR(
            VLOOKUP(
                INDEX('[1]Dettaglio pacchetti'!$AB$1:$AB$530,
                    _xlfn.AGGREGATE(15, 6,
                        (ROW($1:$345))/(ISNUMBER(SEARCH('[1]Dettaglio pacchetti'!$AB$1:$AB$530, $C145))),
                        1)
                ) &amp; "*",
                '[1]Dettaglio pacchetti'!$A$1:$I$530,
                5,
                FALSE
            ),
            IFERROR(VLOOKUP($C145, '[1]Dettaglio pacchetti'!$A$1:$I$530, 5, FALSE), "")
        )
    )
)</f>
        <v/>
      </c>
      <c r="H145" s="14" t="str" cm="1">
        <f t="array" ref="H145">IFERROR(
    VLOOKUP(
        INDEX('[1]Dettaglio pacchetti'!$AB$1:$AB$530,
            _xlfn.AGGREGATE(15, 6,
                (ROW($1:$345))/(ISNUMBER(SEARCH('[1]Dettaglio pacchetti'!$AB$1:$AB$530, $C145))),
                1)
        ) &amp; "*",
        '[1]Dettaglio pacchetti'!$A$1:$I$530,
        6,
        FALSE
    ),
    IFERROR(VLOOKUP($C145, '[1]Dettaglio pacchetti'!$A$1:$I$530, 6, FALSE), "")
)</f>
        <v/>
      </c>
      <c r="I145" s="7" t="str">
        <f t="shared" si="9"/>
        <v/>
      </c>
      <c r="J145" t="str">
        <f t="shared" si="7"/>
        <v/>
      </c>
      <c r="K145" t="str">
        <f t="shared" si="8"/>
        <v/>
      </c>
      <c r="L145" s="14" t="str" cm="1">
        <f t="array" ref="L145">IFERROR(
    VLOOKUP(
        INDEX('[1]Dettaglio pacchetti'!$AB$1:$AB$530,
            _xlfn.AGGREGATE(15, 6,
                ROW($1:$345)/(ISNUMBER(SEARCH('[1]Dettaglio pacchetti'!$AB$1:$AB$530, $C145))),
                1)
        ) &amp; "*",
        '[1]Dettaglio pacchetti'!$A$1:$I$530,
        8,
        FALSE
    ),
    IFERROR(VLOOKUP($C145, '[1]Dettaglio pacchetti'!$A$1:$I$530, 8, FALSE), "")
)</f>
        <v/>
      </c>
      <c r="M145" s="14" t="str" cm="1">
        <f t="array" ref="M145">IFERROR(
    VLOOKUP(
        INDEX('[1]Dettaglio pacchetti'!$AB$1:$AB$530,
            _xlfn.AGGREGATE(15, 6,
                ROW($1:$345)/(ISNUMBER(SEARCH('[1]Dettaglio pacchetti'!$AB$1:$AB$530, $C145))),
                1)
        ) &amp; "*",
        '[1]Dettaglio pacchetti'!$A$1:$I$530,
        9,
        FALSE
    ),
    IFERROR(VLOOKUP($C145, '[1]Dettaglio pacchetti'!$A$1:$I$530, 9, FALSE), "")
)</f>
        <v/>
      </c>
      <c r="N145" s="7"/>
      <c r="P145" s="6"/>
      <c r="AC145" t="str" cm="1">
        <f t="array" ref="AC145">IFERROR(
    VLOOKUP(
        INDEX('[1]Dettaglio pacchetti'!$AB$1:$AB$530, _xlfn.AGGREGATE(15,6,ROW($1:$345)/(ISNUMBER(SEARCH('[1]Dettaglio pacchetti'!$AB$1:$AB$530,$C145))),1)) &amp; "*",
        '[1]Dettaglio pacchetti'!$A$1:$I$530,
        7,
        FALSE
    ),
    IFERROR(VLOOKUP($C145, '[1]Dettaglio pacchetti'!$A$1:$I$530, 7, FALSE), "")
)</f>
        <v/>
      </c>
    </row>
    <row r="146" spans="3:30" hidden="1" x14ac:dyDescent="0.3">
      <c r="C146" s="22"/>
      <c r="D146" s="20" t="str" cm="1">
        <f t="array" ref="D146">IFERROR(
    _xlfn.LET(
        _xlpm.risultato,
        IFERROR(
            _xlfn.XLOOKUP(TRIM(UPPER(G146)),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pacchetti'!$E$1:$E$530))=TRIM(UPPER(G146)),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146" s="14" t="str" cm="1">
        <f t="array" ref="E146">IF(TRIM($B146)="SG-ANAGRAFE", "Bugni Batte",
    IF(TRIM($B146)="DW01A", "Cauda",
        IFERROR(
            VLOOKUP(
                INDEX('[1]Dettaglio pacchetti'!$AB$1:$AB$530,
                    _xlfn.AGGREGATE(15, 6,
                        (ROW($1:$345))/(ISNUMBER(SEARCH('[1]Dettaglio pacchetti'!$AB$1:$AB$530, $C146))),
                        1)
                ) &amp; "*",
                '[1]Dettaglio pacchetti'!$A$1:$I$530,
                3,
                FALSE
            ),
            IFERROR(VLOOKUP($C146, '[1]Dettaglio pacchetti'!$A$1:$I$530, 3, FALSE), "")
        )
    )
)</f>
        <v/>
      </c>
      <c r="F146" s="14" t="str" cm="1">
        <f t="array" ref="F146">IF(TRIM($B146)="DW01A", "ETL - EDW Estrattori",
    IFERROR(
        VLOOKUP(
            INDEX('[1]Dettaglio pacchetti'!$AB$1:$AB$530,
                _xlfn.AGGREGATE(15, 6,
                    (ROW($1:$345))/(ISNUMBER(SEARCH('[1]Dettaglio pacchetti'!$AB$1:$AB$530, $C146))),
                    1)
            ) &amp; "*",
            '[1]Dettaglio pacchetti'!$A$1:$I$530,
            4,
            FALSE
        ),
        IFERROR(VLOOKUP($C146, '[1]Dettaglio pacchetti'!$A$1:$I$530, 4, FALSE), "")
    )
)</f>
        <v/>
      </c>
      <c r="G146" s="14" t="str" cm="1">
        <f t="array" ref="G146">IF(TRIM($B146)="DW01A", "ETL - EDW Estrattori",
    IF(TRIM($B146)="SG-ANAGRAFE", "SIGEA Anagrafe",
        IFERROR(
            VLOOKUP(
                INDEX('[1]Dettaglio pacchetti'!$AB$1:$AB$530,
                    _xlfn.AGGREGATE(15, 6,
                        (ROW($1:$345))/(ISNUMBER(SEARCH('[1]Dettaglio pacchetti'!$AB$1:$AB$530, $C146))),
                        1)
                ) &amp; "*",
                '[1]Dettaglio pacchetti'!$A$1:$I$530,
                5,
                FALSE
            ),
            IFERROR(VLOOKUP($C146, '[1]Dettaglio pacchetti'!$A$1:$I$530, 5, FALSE), "")
        )
    )
)</f>
        <v/>
      </c>
      <c r="H146" s="14" t="str" cm="1">
        <f t="array" ref="H146">IFERROR(
    VLOOKUP(
        INDEX('[1]Dettaglio pacchetti'!$AB$1:$AB$530,
            _xlfn.AGGREGATE(15, 6,
                (ROW($1:$345))/(ISNUMBER(SEARCH('[1]Dettaglio pacchetti'!$AB$1:$AB$530, $C146))),
                1)
        ) &amp; "*",
        '[1]Dettaglio pacchetti'!$A$1:$I$530,
        6,
        FALSE
    ),
    IFERROR(VLOOKUP($C146, '[1]Dettaglio pacchetti'!$A$1:$I$530, 6, FALSE), "")
)</f>
        <v/>
      </c>
      <c r="I146" s="7" t="str">
        <f t="shared" si="9"/>
        <v/>
      </c>
      <c r="J146" t="str">
        <f t="shared" si="7"/>
        <v/>
      </c>
      <c r="K146" t="str">
        <f t="shared" si="8"/>
        <v/>
      </c>
      <c r="L146" s="14" t="str" cm="1">
        <f t="array" ref="L146">IFERROR(
    VLOOKUP(
        INDEX('[1]Dettaglio pacchetti'!$AB$1:$AB$530,
            _xlfn.AGGREGATE(15, 6,
                ROW($1:$345)/(ISNUMBER(SEARCH('[1]Dettaglio pacchetti'!$AB$1:$AB$530, $C146))),
                1)
        ) &amp; "*",
        '[1]Dettaglio pacchetti'!$A$1:$I$530,
        8,
        FALSE
    ),
    IFERROR(VLOOKUP($C146, '[1]Dettaglio pacchetti'!$A$1:$I$530, 8, FALSE), "")
)</f>
        <v/>
      </c>
      <c r="M146" s="14" t="str" cm="1">
        <f t="array" ref="M146">IFERROR(
    VLOOKUP(
        INDEX('[1]Dettaglio pacchetti'!$AB$1:$AB$530,
            _xlfn.AGGREGATE(15, 6,
                ROW($1:$345)/(ISNUMBER(SEARCH('[1]Dettaglio pacchetti'!$AB$1:$AB$530, $C146))),
                1)
        ) &amp; "*",
        '[1]Dettaglio pacchetti'!$A$1:$I$530,
        9,
        FALSE
    ),
    IFERROR(VLOOKUP($C146, '[1]Dettaglio pacchetti'!$A$1:$I$530, 9, FALSE), "")
)</f>
        <v/>
      </c>
      <c r="N146" s="7"/>
      <c r="P146" s="6"/>
      <c r="AC146" t="str" cm="1">
        <f t="array" ref="AC146">IFERROR(
    VLOOKUP(
        INDEX('[1]Dettaglio pacchetti'!$AB$1:$AB$530, _xlfn.AGGREGATE(15,6,ROW($1:$345)/(ISNUMBER(SEARCH('[1]Dettaglio pacchetti'!$AB$1:$AB$530,$C146))),1)) &amp; "*",
        '[1]Dettaglio pacchetti'!$A$1:$I$530,
        7,
        FALSE
    ),
    IFERROR(VLOOKUP($C146, '[1]Dettaglio pacchetti'!$A$1:$I$530, 7, FALSE), "")
)</f>
        <v/>
      </c>
    </row>
    <row r="147" spans="3:30" hidden="1" x14ac:dyDescent="0.3">
      <c r="C147" s="22"/>
      <c r="D147" s="20" t="str" cm="1">
        <f t="array" ref="D147">IFERROR(
    _xlfn.LET(
        _xlpm.risultato,
        IFERROR(
            _xlfn.XLOOKUP(TRIM(UPPER(G147)),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pacchetti'!$E$1:$E$530))=TRIM(UPPER(G147)),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147" s="14" t="str" cm="1">
        <f t="array" ref="E147">IF(TRIM($B147)="SG-ANAGRAFE", "Bugni Batte",
    IF(TRIM($B147)="DW01A", "Cauda",
        IFERROR(
            VLOOKUP(
                INDEX('[1]Dettaglio pacchetti'!$AB$1:$AB$530,
                    _xlfn.AGGREGATE(15, 6,
                        (ROW($1:$345))/(ISNUMBER(SEARCH('[1]Dettaglio pacchetti'!$AB$1:$AB$530, $C147))),
                        1)
                ) &amp; "*",
                '[1]Dettaglio pacchetti'!$A$1:$I$530,
                3,
                FALSE
            ),
            IFERROR(VLOOKUP($C147, '[1]Dettaglio pacchetti'!$A$1:$I$530, 3, FALSE), "")
        )
    )
)</f>
        <v/>
      </c>
      <c r="F147" s="14" t="str" cm="1">
        <f t="array" ref="F147">IF(TRIM($B147)="DW01A", "ETL - EDW Estrattori",
    IFERROR(
        VLOOKUP(
            INDEX('[1]Dettaglio pacchetti'!$AB$1:$AB$530,
                _xlfn.AGGREGATE(15, 6,
                    (ROW($1:$345))/(ISNUMBER(SEARCH('[1]Dettaglio pacchetti'!$AB$1:$AB$530, $C147))),
                    1)
            ) &amp; "*",
            '[1]Dettaglio pacchetti'!$A$1:$I$530,
            4,
            FALSE
        ),
        IFERROR(VLOOKUP($C147, '[1]Dettaglio pacchetti'!$A$1:$I$530, 4, FALSE), "")
    )
)</f>
        <v/>
      </c>
      <c r="G147" s="14" t="str" cm="1">
        <f t="array" ref="G147">IF(TRIM($B147)="DW01A", "ETL - EDW Estrattori",
    IF(TRIM($B147)="SG-ANAGRAFE", "SIGEA Anagrafe",
        IFERROR(
            VLOOKUP(
                INDEX('[1]Dettaglio pacchetti'!$AB$1:$AB$530,
                    _xlfn.AGGREGATE(15, 6,
                        (ROW($1:$345))/(ISNUMBER(SEARCH('[1]Dettaglio pacchetti'!$AB$1:$AB$530, $C147))),
                        1)
                ) &amp; "*",
                '[1]Dettaglio pacchetti'!$A$1:$I$530,
                5,
                FALSE
            ),
            IFERROR(VLOOKUP($C147, '[1]Dettaglio pacchetti'!$A$1:$I$530, 5, FALSE), "")
        )
    )
)</f>
        <v/>
      </c>
      <c r="H147" s="14" t="str" cm="1">
        <f t="array" ref="H147">IFERROR(
    VLOOKUP(
        INDEX('[1]Dettaglio pacchetti'!$AB$1:$AB$530,
            _xlfn.AGGREGATE(15, 6,
                (ROW($1:$345))/(ISNUMBER(SEARCH('[1]Dettaglio pacchetti'!$AB$1:$AB$530, $C147))),
                1)
        ) &amp; "*",
        '[1]Dettaglio pacchetti'!$A$1:$I$530,
        6,
        FALSE
    ),
    IFERROR(VLOOKUP($C147, '[1]Dettaglio pacchetti'!$A$1:$I$530, 6, FALSE), "")
)</f>
        <v/>
      </c>
      <c r="I147" s="7" t="str">
        <f t="shared" si="9"/>
        <v/>
      </c>
      <c r="J147" t="str">
        <f t="shared" si="7"/>
        <v/>
      </c>
      <c r="K147" t="str">
        <f t="shared" si="8"/>
        <v/>
      </c>
      <c r="L147" s="14" t="str" cm="1">
        <f t="array" ref="L147">IFERROR(
    VLOOKUP(
        INDEX('[1]Dettaglio pacchetti'!$AB$1:$AB$530,
            _xlfn.AGGREGATE(15, 6,
                ROW($1:$345)/(ISNUMBER(SEARCH('[1]Dettaglio pacchetti'!$AB$1:$AB$530, $C147))),
                1)
        ) &amp; "*",
        '[1]Dettaglio pacchetti'!$A$1:$I$530,
        8,
        FALSE
    ),
    IFERROR(VLOOKUP($C147, '[1]Dettaglio pacchetti'!$A$1:$I$530, 8, FALSE), "")
)</f>
        <v/>
      </c>
      <c r="M147" s="14" t="str" cm="1">
        <f t="array" ref="M147">IFERROR(
    VLOOKUP(
        INDEX('[1]Dettaglio pacchetti'!$AB$1:$AB$530,
            _xlfn.AGGREGATE(15, 6,
                ROW($1:$345)/(ISNUMBER(SEARCH('[1]Dettaglio pacchetti'!$AB$1:$AB$530, $C147))),
                1)
        ) &amp; "*",
        '[1]Dettaglio pacchetti'!$A$1:$I$530,
        9,
        FALSE
    ),
    IFERROR(VLOOKUP($C147, '[1]Dettaglio pacchetti'!$A$1:$I$530, 9, FALSE), "")
)</f>
        <v/>
      </c>
      <c r="N147" s="7"/>
      <c r="P147" s="6"/>
      <c r="AC147" t="str" cm="1">
        <f t="array" ref="AC147">IFERROR(
    VLOOKUP(
        INDEX('[1]Dettaglio pacchetti'!$AB$1:$AB$530, _xlfn.AGGREGATE(15,6,ROW($1:$345)/(ISNUMBER(SEARCH('[1]Dettaglio pacchetti'!$AB$1:$AB$530,$C147))),1)) &amp; "*",
        '[1]Dettaglio pacchetti'!$A$1:$I$530,
        7,
        FALSE
    ),
    IFERROR(VLOOKUP($C147, '[1]Dettaglio pacchetti'!$A$1:$I$530, 7, FALSE), "")
)</f>
        <v/>
      </c>
    </row>
    <row r="148" spans="3:30" hidden="1" x14ac:dyDescent="0.3">
      <c r="C148" s="22"/>
      <c r="D148" s="20" t="str" cm="1">
        <f t="array" ref="D148">IFERROR(
    _xlfn.LET(
        _xlpm.risultato,
        IFERROR(
            _xlfn.XLOOKUP(TRIM(UPPER(G148)),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pacchetti'!$E$1:$E$530))=TRIM(UPPER(G148)),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148" s="14" t="str" cm="1">
        <f t="array" ref="E148">IF(TRIM($B148)="SG-ANAGRAFE", "Bugni Batte",
    IF(TRIM($B148)="DW01A", "Cauda",
        IFERROR(
            VLOOKUP(
                INDEX('[1]Dettaglio pacchetti'!$AB$1:$AB$530,
                    _xlfn.AGGREGATE(15, 6,
                        (ROW($1:$345))/(ISNUMBER(SEARCH('[1]Dettaglio pacchetti'!$AB$1:$AB$530, $C148))),
                        1)
                ) &amp; "*",
                '[1]Dettaglio pacchetti'!$A$1:$I$530,
                3,
                FALSE
            ),
            IFERROR(VLOOKUP($C148, '[1]Dettaglio pacchetti'!$A$1:$I$530, 3, FALSE), "")
        )
    )
)</f>
        <v/>
      </c>
      <c r="F148" s="14" t="str" cm="1">
        <f t="array" ref="F148">IF(TRIM($B148)="DW01A", "ETL - EDW Estrattori",
    IFERROR(
        VLOOKUP(
            INDEX('[1]Dettaglio pacchetti'!$AB$1:$AB$530,
                _xlfn.AGGREGATE(15, 6,
                    (ROW($1:$345))/(ISNUMBER(SEARCH('[1]Dettaglio pacchetti'!$AB$1:$AB$530, $C148))),
                    1)
            ) &amp; "*",
            '[1]Dettaglio pacchetti'!$A$1:$I$530,
            4,
            FALSE
        ),
        IFERROR(VLOOKUP($C148, '[1]Dettaglio pacchetti'!$A$1:$I$530, 4, FALSE), "")
    )
)</f>
        <v/>
      </c>
      <c r="G148" s="14" t="str" cm="1">
        <f t="array" ref="G148">IF(TRIM($B148)="DW01A", "ETL - EDW Estrattori",
    IF(TRIM($B148)="SG-ANAGRAFE", "SIGEA Anagrafe",
        IFERROR(
            VLOOKUP(
                INDEX('[1]Dettaglio pacchetti'!$AB$1:$AB$530,
                    _xlfn.AGGREGATE(15, 6,
                        (ROW($1:$345))/(ISNUMBER(SEARCH('[1]Dettaglio pacchetti'!$AB$1:$AB$530, $C148))),
                        1)
                ) &amp; "*",
                '[1]Dettaglio pacchetti'!$A$1:$I$530,
                5,
                FALSE
            ),
            IFERROR(VLOOKUP($C148, '[1]Dettaglio pacchetti'!$A$1:$I$530, 5, FALSE), "")
        )
    )
)</f>
        <v/>
      </c>
      <c r="H148" s="14" t="str" cm="1">
        <f t="array" ref="H148">IFERROR(
    VLOOKUP(
        INDEX('[1]Dettaglio pacchetti'!$AB$1:$AB$530,
            _xlfn.AGGREGATE(15, 6,
                (ROW($1:$345))/(ISNUMBER(SEARCH('[1]Dettaglio pacchetti'!$AB$1:$AB$530, $C148))),
                1)
        ) &amp; "*",
        '[1]Dettaglio pacchetti'!$A$1:$I$530,
        6,
        FALSE
    ),
    IFERROR(VLOOKUP($C148, '[1]Dettaglio pacchetti'!$A$1:$I$530, 6, FALSE), "")
)</f>
        <v/>
      </c>
      <c r="I148" s="7" t="str">
        <f t="shared" si="9"/>
        <v/>
      </c>
      <c r="J148" t="str">
        <f t="shared" si="7"/>
        <v/>
      </c>
      <c r="K148" t="str">
        <f t="shared" si="8"/>
        <v/>
      </c>
      <c r="L148" s="14" t="str" cm="1">
        <f t="array" ref="L148">IFERROR(
    VLOOKUP(
        INDEX('[1]Dettaglio pacchetti'!$AB$1:$AB$530,
            _xlfn.AGGREGATE(15, 6,
                ROW($1:$345)/(ISNUMBER(SEARCH('[1]Dettaglio pacchetti'!$AB$1:$AB$530, $C148))),
                1)
        ) &amp; "*",
        '[1]Dettaglio pacchetti'!$A$1:$I$530,
        8,
        FALSE
    ),
    IFERROR(VLOOKUP($C148, '[1]Dettaglio pacchetti'!$A$1:$I$530, 8, FALSE), "")
)</f>
        <v/>
      </c>
      <c r="M148" s="14" t="str" cm="1">
        <f t="array" ref="M148">IFERROR(
    VLOOKUP(
        INDEX('[1]Dettaglio pacchetti'!$AB$1:$AB$530,
            _xlfn.AGGREGATE(15, 6,
                ROW($1:$345)/(ISNUMBER(SEARCH('[1]Dettaglio pacchetti'!$AB$1:$AB$530, $C148))),
                1)
        ) &amp; "*",
        '[1]Dettaglio pacchetti'!$A$1:$I$530,
        9,
        FALSE
    ),
    IFERROR(VLOOKUP($C148, '[1]Dettaglio pacchetti'!$A$1:$I$530, 9, FALSE), "")
)</f>
        <v/>
      </c>
      <c r="N148" s="7"/>
      <c r="P148" s="6"/>
      <c r="AC148" t="str" cm="1">
        <f t="array" ref="AC148">IFERROR(
    VLOOKUP(
        INDEX('[1]Dettaglio pacchetti'!$AB$1:$AB$530, _xlfn.AGGREGATE(15,6,ROW($1:$345)/(ISNUMBER(SEARCH('[1]Dettaglio pacchetti'!$AB$1:$AB$530,$C148))),1)) &amp; "*",
        '[1]Dettaglio pacchetti'!$A$1:$I$530,
        7,
        FALSE
    ),
    IFERROR(VLOOKUP($C148, '[1]Dettaglio pacchetti'!$A$1:$I$530, 7, FALSE), "")
)</f>
        <v/>
      </c>
    </row>
    <row r="149" spans="3:30" hidden="1" x14ac:dyDescent="0.3">
      <c r="C149" s="22"/>
      <c r="D149" s="20" t="str" cm="1">
        <f t="array" ref="D149">IFERROR(
    _xlfn.LET(
        _xlpm.risultato,
        IFERROR(
            _xlfn.XLOOKUP(TRIM(UPPER(G149)),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pacchetti'!$E$1:$E$530))=TRIM(UPPER(G149)),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149" s="14" t="str" cm="1">
        <f t="array" ref="E149">IF(TRIM($B149)="SG-ANAGRAFE", "Bugni Batte",
    IF(TRIM($B149)="DW01A", "Cauda",
        IFERROR(
            VLOOKUP(
                INDEX('[1]Dettaglio pacchetti'!$AB$1:$AB$530,
                    _xlfn.AGGREGATE(15, 6,
                        (ROW($1:$345))/(ISNUMBER(SEARCH('[1]Dettaglio pacchetti'!$AB$1:$AB$530, $C149))),
                        1)
                ) &amp; "*",
                '[1]Dettaglio pacchetti'!$A$1:$I$530,
                3,
                FALSE
            ),
            IFERROR(VLOOKUP($C149, '[1]Dettaglio pacchetti'!$A$1:$I$530, 3, FALSE), "")
        )
    )
)</f>
        <v/>
      </c>
      <c r="F149" s="14" t="str" cm="1">
        <f t="array" ref="F149">IF(TRIM($B149)="DW01A", "ETL - EDW Estrattori",
    IFERROR(
        VLOOKUP(
            INDEX('[1]Dettaglio pacchetti'!$AB$1:$AB$530,
                _xlfn.AGGREGATE(15, 6,
                    (ROW($1:$345))/(ISNUMBER(SEARCH('[1]Dettaglio pacchetti'!$AB$1:$AB$530, $C149))),
                    1)
            ) &amp; "*",
            '[1]Dettaglio pacchetti'!$A$1:$I$530,
            4,
            FALSE
        ),
        IFERROR(VLOOKUP($C149, '[1]Dettaglio pacchetti'!$A$1:$I$530, 4, FALSE), "")
    )
)</f>
        <v/>
      </c>
      <c r="G149" s="14" t="str" cm="1">
        <f t="array" ref="G149">IF(TRIM($B149)="DW01A", "ETL - EDW Estrattori",
    IF(TRIM($B149)="SG-ANAGRAFE", "SIGEA Anagrafe",
        IFERROR(
            VLOOKUP(
                INDEX('[1]Dettaglio pacchetti'!$AB$1:$AB$530,
                    _xlfn.AGGREGATE(15, 6,
                        (ROW($1:$345))/(ISNUMBER(SEARCH('[1]Dettaglio pacchetti'!$AB$1:$AB$530, $C149))),
                        1)
                ) &amp; "*",
                '[1]Dettaglio pacchetti'!$A$1:$I$530,
                5,
                FALSE
            ),
            IFERROR(VLOOKUP($C149, '[1]Dettaglio pacchetti'!$A$1:$I$530, 5, FALSE), "")
        )
    )
)</f>
        <v/>
      </c>
      <c r="H149" s="14" t="str" cm="1">
        <f t="array" ref="H149">IFERROR(
    VLOOKUP(
        INDEX('[1]Dettaglio pacchetti'!$AB$1:$AB$530,
            _xlfn.AGGREGATE(15, 6,
                (ROW($1:$345))/(ISNUMBER(SEARCH('[1]Dettaglio pacchetti'!$AB$1:$AB$530, $C149))),
                1)
        ) &amp; "*",
        '[1]Dettaglio pacchetti'!$A$1:$I$530,
        6,
        FALSE
    ),
    IFERROR(VLOOKUP($C149, '[1]Dettaglio pacchetti'!$A$1:$I$530, 6, FALSE), "")
)</f>
        <v/>
      </c>
      <c r="I149" s="7" t="str">
        <f t="shared" si="9"/>
        <v/>
      </c>
      <c r="J149" t="str">
        <f t="shared" si="7"/>
        <v/>
      </c>
      <c r="K149" t="str">
        <f t="shared" si="8"/>
        <v/>
      </c>
      <c r="L149" s="14" t="str" cm="1">
        <f t="array" ref="L149">IFERROR(
    VLOOKUP(
        INDEX('[1]Dettaglio pacchetti'!$AB$1:$AB$530,
            _xlfn.AGGREGATE(15, 6,
                ROW($1:$345)/(ISNUMBER(SEARCH('[1]Dettaglio pacchetti'!$AB$1:$AB$530, $C149))),
                1)
        ) &amp; "*",
        '[1]Dettaglio pacchetti'!$A$1:$I$530,
        8,
        FALSE
    ),
    IFERROR(VLOOKUP($C149, '[1]Dettaglio pacchetti'!$A$1:$I$530, 8, FALSE), "")
)</f>
        <v/>
      </c>
      <c r="M149" s="14" t="str" cm="1">
        <f t="array" ref="M149">IFERROR(
    VLOOKUP(
        INDEX('[1]Dettaglio pacchetti'!$AB$1:$AB$530,
            _xlfn.AGGREGATE(15, 6,
                ROW($1:$345)/(ISNUMBER(SEARCH('[1]Dettaglio pacchetti'!$AB$1:$AB$530, $C149))),
                1)
        ) &amp; "*",
        '[1]Dettaglio pacchetti'!$A$1:$I$530,
        9,
        FALSE
    ),
    IFERROR(VLOOKUP($C149, '[1]Dettaglio pacchetti'!$A$1:$I$530, 9, FALSE), "")
)</f>
        <v/>
      </c>
      <c r="N149" s="7"/>
      <c r="P149" s="6"/>
      <c r="AC149" t="str" cm="1">
        <f t="array" ref="AC149">IFERROR(
    VLOOKUP(
        INDEX('[1]Dettaglio pacchetti'!$AB$1:$AB$530, _xlfn.AGGREGATE(15,6,ROW($1:$345)/(ISNUMBER(SEARCH('[1]Dettaglio pacchetti'!$AB$1:$AB$530,$C149))),1)) &amp; "*",
        '[1]Dettaglio pacchetti'!$A$1:$I$530,
        7,
        FALSE
    ),
    IFERROR(VLOOKUP($C149, '[1]Dettaglio pacchetti'!$A$1:$I$530, 7, FALSE), "")
)</f>
        <v/>
      </c>
    </row>
    <row r="150" spans="3:30" hidden="1" x14ac:dyDescent="0.3">
      <c r="C150" s="22"/>
      <c r="D150" s="20" t="str" cm="1">
        <f t="array" ref="D150">IFERROR(
    _xlfn.LET(
        _xlpm.risultato,
        IFERROR(
            _xlfn.XLOOKUP(TRIM(UPPER(G150)),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pacchetti'!$E$1:$E$530))=TRIM(UPPER(G150)),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150" s="14" t="str" cm="1">
        <f t="array" ref="E150">IF(TRIM($B150)="SG-ANAGRAFE", "Bugni Batte",
    IF(TRIM($B150)="DW01A", "Cauda",
        IFERROR(
            VLOOKUP(
                INDEX('[1]Dettaglio pacchetti'!$AB$1:$AB$530,
                    _xlfn.AGGREGATE(15, 6,
                        (ROW($1:$345))/(ISNUMBER(SEARCH('[1]Dettaglio pacchetti'!$AB$1:$AB$530, $C150))),
                        1)
                ) &amp; "*",
                '[1]Dettaglio pacchetti'!$A$1:$I$530,
                3,
                FALSE
            ),
            IFERROR(VLOOKUP($C150, '[1]Dettaglio pacchetti'!$A$1:$I$530, 3, FALSE), "")
        )
    )
)</f>
        <v/>
      </c>
      <c r="F150" s="14" t="str" cm="1">
        <f t="array" ref="F150">IF(TRIM($B150)="DW01A", "ETL - EDW Estrattori",
    IFERROR(
        VLOOKUP(
            INDEX('[1]Dettaglio pacchetti'!$AB$1:$AB$530,
                _xlfn.AGGREGATE(15, 6,
                    (ROW($1:$345))/(ISNUMBER(SEARCH('[1]Dettaglio pacchetti'!$AB$1:$AB$530, $C150))),
                    1)
            ) &amp; "*",
            '[1]Dettaglio pacchetti'!$A$1:$I$530,
            4,
            FALSE
        ),
        IFERROR(VLOOKUP($C150, '[1]Dettaglio pacchetti'!$A$1:$I$530, 4, FALSE), "")
    )
)</f>
        <v/>
      </c>
      <c r="G150" s="14" t="str" cm="1">
        <f t="array" ref="G150">IF(TRIM($B150)="DW01A", "ETL - EDW Estrattori",
    IF(TRIM($B150)="SG-ANAGRAFE", "SIGEA Anagrafe",
        IFERROR(
            VLOOKUP(
                INDEX('[1]Dettaglio pacchetti'!$AB$1:$AB$530,
                    _xlfn.AGGREGATE(15, 6,
                        (ROW($1:$345))/(ISNUMBER(SEARCH('[1]Dettaglio pacchetti'!$AB$1:$AB$530, $C150))),
                        1)
                ) &amp; "*",
                '[1]Dettaglio pacchetti'!$A$1:$I$530,
                5,
                FALSE
            ),
            IFERROR(VLOOKUP($C150, '[1]Dettaglio pacchetti'!$A$1:$I$530, 5, FALSE), "")
        )
    )
)</f>
        <v/>
      </c>
      <c r="H150" s="14" t="str" cm="1">
        <f t="array" ref="H150">IFERROR(
    VLOOKUP(
        INDEX('[1]Dettaglio pacchetti'!$AB$1:$AB$530,
            _xlfn.AGGREGATE(15, 6,
                (ROW($1:$345))/(ISNUMBER(SEARCH('[1]Dettaglio pacchetti'!$AB$1:$AB$530, $C150))),
                1)
        ) &amp; "*",
        '[1]Dettaglio pacchetti'!$A$1:$I$530,
        6,
        FALSE
    ),
    IFERROR(VLOOKUP($C150, '[1]Dettaglio pacchetti'!$A$1:$I$530, 6, FALSE), "")
)</f>
        <v/>
      </c>
      <c r="I150" s="7" t="str">
        <f t="shared" si="9"/>
        <v/>
      </c>
      <c r="J150" t="str">
        <f t="shared" si="7"/>
        <v/>
      </c>
      <c r="K150" t="str">
        <f t="shared" si="8"/>
        <v/>
      </c>
      <c r="L150" s="14" t="str" cm="1">
        <f t="array" ref="L150">IFERROR(
    VLOOKUP(
        INDEX('[1]Dettaglio pacchetti'!$AB$1:$AB$530,
            _xlfn.AGGREGATE(15, 6,
                ROW($1:$345)/(ISNUMBER(SEARCH('[1]Dettaglio pacchetti'!$AB$1:$AB$530, $C150))),
                1)
        ) &amp; "*",
        '[1]Dettaglio pacchetti'!$A$1:$I$530,
        8,
        FALSE
    ),
    IFERROR(VLOOKUP($C150, '[1]Dettaglio pacchetti'!$A$1:$I$530, 8, FALSE), "")
)</f>
        <v/>
      </c>
      <c r="M150" s="14" t="str" cm="1">
        <f t="array" ref="M150">IFERROR(
    VLOOKUP(
        INDEX('[1]Dettaglio pacchetti'!$AB$1:$AB$530,
            _xlfn.AGGREGATE(15, 6,
                ROW($1:$345)/(ISNUMBER(SEARCH('[1]Dettaglio pacchetti'!$AB$1:$AB$530, $C150))),
                1)
        ) &amp; "*",
        '[1]Dettaglio pacchetti'!$A$1:$I$530,
        9,
        FALSE
    ),
    IFERROR(VLOOKUP($C150, '[1]Dettaglio pacchetti'!$A$1:$I$530, 9, FALSE), "")
)</f>
        <v/>
      </c>
      <c r="N150" s="7"/>
      <c r="P150" s="6"/>
      <c r="AC150" t="str" cm="1">
        <f t="array" ref="AC150">IFERROR(
    VLOOKUP(
        INDEX('[1]Dettaglio pacchetti'!$AB$1:$AB$530, _xlfn.AGGREGATE(15,6,ROW($1:$345)/(ISNUMBER(SEARCH('[1]Dettaglio pacchetti'!$AB$1:$AB$530,$C150))),1)) &amp; "*",
        '[1]Dettaglio pacchetti'!$A$1:$I$530,
        7,
        FALSE
    ),
    IFERROR(VLOOKUP($C150, '[1]Dettaglio pacchetti'!$A$1:$I$530, 7, FALSE), "")
)</f>
        <v/>
      </c>
    </row>
    <row r="151" spans="3:30" hidden="1" x14ac:dyDescent="0.3">
      <c r="C151" s="22"/>
      <c r="D151" s="20" t="str" cm="1">
        <f t="array" ref="D151">IFERROR(
    _xlfn.LET(
        _xlpm.risultato,
        IFERROR(
            _xlfn.XLOOKUP(TRIM(UPPER(G151)),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pacchetti'!$E$1:$E$530))=TRIM(UPPER(G151)),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151" s="14" t="str" cm="1">
        <f t="array" ref="E151">IF(TRIM($B151)="SG-ANAGRAFE", "Bugni Batte",
    IF(TRIM($B151)="DW01A", "Cauda",
        IFERROR(
            VLOOKUP(
                INDEX('[1]Dettaglio pacchetti'!$AB$1:$AB$530,
                    _xlfn.AGGREGATE(15, 6,
                        (ROW($1:$345))/(ISNUMBER(SEARCH('[1]Dettaglio pacchetti'!$AB$1:$AB$530, $C151))),
                        1)
                ) &amp; "*",
                '[1]Dettaglio pacchetti'!$A$1:$I$530,
                3,
                FALSE
            ),
            IFERROR(VLOOKUP($C151, '[1]Dettaglio pacchetti'!$A$1:$I$530, 3, FALSE), "")
        )
    )
)</f>
        <v/>
      </c>
      <c r="F151" s="14" t="str" cm="1">
        <f t="array" ref="F151">IF(TRIM($B151)="DW01A", "ETL - EDW Estrattori",
    IFERROR(
        VLOOKUP(
            INDEX('[1]Dettaglio pacchetti'!$AB$1:$AB$530,
                _xlfn.AGGREGATE(15, 6,
                    (ROW($1:$345))/(ISNUMBER(SEARCH('[1]Dettaglio pacchetti'!$AB$1:$AB$530, $C151))),
                    1)
            ) &amp; "*",
            '[1]Dettaglio pacchetti'!$A$1:$I$530,
            4,
            FALSE
        ),
        IFERROR(VLOOKUP($C151, '[1]Dettaglio pacchetti'!$A$1:$I$530, 4, FALSE), "")
    )
)</f>
        <v/>
      </c>
      <c r="G151" s="14" t="str" cm="1">
        <f t="array" ref="G151">IF(TRIM($B151)="DW01A", "ETL - EDW Estrattori",
    IF(TRIM($B151)="SG-ANAGRAFE", "SIGEA Anagrafe",
        IFERROR(
            VLOOKUP(
                INDEX('[1]Dettaglio pacchetti'!$AB$1:$AB$530,
                    _xlfn.AGGREGATE(15, 6,
                        (ROW($1:$345))/(ISNUMBER(SEARCH('[1]Dettaglio pacchetti'!$AB$1:$AB$530, $C151))),
                        1)
                ) &amp; "*",
                '[1]Dettaglio pacchetti'!$A$1:$I$530,
                5,
                FALSE
            ),
            IFERROR(VLOOKUP($C151, '[1]Dettaglio pacchetti'!$A$1:$I$530, 5, FALSE), "")
        )
    )
)</f>
        <v/>
      </c>
      <c r="H151" s="14" t="str" cm="1">
        <f t="array" ref="H151">IFERROR(
    VLOOKUP(
        INDEX('[1]Dettaglio pacchetti'!$AB$1:$AB$530,
            _xlfn.AGGREGATE(15, 6,
                (ROW($1:$345))/(ISNUMBER(SEARCH('[1]Dettaglio pacchetti'!$AB$1:$AB$530, $C151))),
                1)
        ) &amp; "*",
        '[1]Dettaglio pacchetti'!$A$1:$I$530,
        6,
        FALSE
    ),
    IFERROR(VLOOKUP($C151, '[1]Dettaglio pacchetti'!$A$1:$I$530, 6, FALSE), "")
)</f>
        <v/>
      </c>
      <c r="I151" s="7" t="str">
        <f t="shared" si="9"/>
        <v/>
      </c>
      <c r="J151" t="str">
        <f t="shared" si="7"/>
        <v/>
      </c>
      <c r="K151" t="str">
        <f t="shared" si="8"/>
        <v/>
      </c>
      <c r="L151" s="14" t="str" cm="1">
        <f t="array" ref="L151">IFERROR(
    VLOOKUP(
        INDEX('[1]Dettaglio pacchetti'!$AB$1:$AB$530,
            _xlfn.AGGREGATE(15, 6,
                ROW($1:$345)/(ISNUMBER(SEARCH('[1]Dettaglio pacchetti'!$AB$1:$AB$530, $C151))),
                1)
        ) &amp; "*",
        '[1]Dettaglio pacchetti'!$A$1:$I$530,
        8,
        FALSE
    ),
    IFERROR(VLOOKUP($C151, '[1]Dettaglio pacchetti'!$A$1:$I$530, 8, FALSE), "")
)</f>
        <v/>
      </c>
      <c r="M151" s="14" t="str" cm="1">
        <f t="array" ref="M151">IFERROR(
    VLOOKUP(
        INDEX('[1]Dettaglio pacchetti'!$AB$1:$AB$530,
            _xlfn.AGGREGATE(15, 6,
                ROW($1:$345)/(ISNUMBER(SEARCH('[1]Dettaglio pacchetti'!$AB$1:$AB$530, $C151))),
                1)
        ) &amp; "*",
        '[1]Dettaglio pacchetti'!$A$1:$I$530,
        9,
        FALSE
    ),
    IFERROR(VLOOKUP($C151, '[1]Dettaglio pacchetti'!$A$1:$I$530, 9, FALSE), "")
)</f>
        <v/>
      </c>
      <c r="N151" s="7"/>
      <c r="P151" s="6"/>
      <c r="AC151" t="str" cm="1">
        <f t="array" ref="AC151">IFERROR(
    VLOOKUP(
        INDEX('[1]Dettaglio pacchetti'!$AB$1:$AB$530, _xlfn.AGGREGATE(15,6,ROW($1:$345)/(ISNUMBER(SEARCH('[1]Dettaglio pacchetti'!$AB$1:$AB$530,$C151))),1)) &amp; "*",
        '[1]Dettaglio pacchetti'!$A$1:$I$530,
        7,
        FALSE
    ),
    IFERROR(VLOOKUP($C151, '[1]Dettaglio pacchetti'!$A$1:$I$530, 7, FALSE), "")
)</f>
        <v/>
      </c>
    </row>
    <row r="152" spans="3:30" hidden="1" x14ac:dyDescent="0.3">
      <c r="C152" s="22"/>
      <c r="D152" s="20" t="str" cm="1">
        <f t="array" ref="D152">IFERROR(
    _xlfn.LET(
        _xlpm.risultato,
        IFERROR(
            _xlfn.XLOOKUP(TRIM(UPPER(G152)),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pacchetti'!$E$1:$E$530))=TRIM(UPPER(G152)),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152" s="14" t="str" cm="1">
        <f t="array" ref="E152">IF(TRIM($B152)="SG-ANAGRAFE", "Bugni Batte",
    IF(TRIM($B152)="DW01A", "Cauda",
        IFERROR(
            VLOOKUP(
                INDEX('[1]Dettaglio pacchetti'!$AB$1:$AB$530,
                    _xlfn.AGGREGATE(15, 6,
                        (ROW($1:$345))/(ISNUMBER(SEARCH('[1]Dettaglio pacchetti'!$AB$1:$AB$530, $C152))),
                        1)
                ) &amp; "*",
                '[1]Dettaglio pacchetti'!$A$1:$I$530,
                3,
                FALSE
            ),
            IFERROR(VLOOKUP($C152, '[1]Dettaglio pacchetti'!$A$1:$I$530, 3, FALSE), "")
        )
    )
)</f>
        <v/>
      </c>
      <c r="F152" s="14" t="str" cm="1">
        <f t="array" ref="F152">IF(TRIM($B152)="DW01A", "ETL - EDW Estrattori",
    IFERROR(
        VLOOKUP(
            INDEX('[1]Dettaglio pacchetti'!$AB$1:$AB$530,
                _xlfn.AGGREGATE(15, 6,
                    (ROW($1:$345))/(ISNUMBER(SEARCH('[1]Dettaglio pacchetti'!$AB$1:$AB$530, $C152))),
                    1)
            ) &amp; "*",
            '[1]Dettaglio pacchetti'!$A$1:$I$530,
            4,
            FALSE
        ),
        IFERROR(VLOOKUP($C152, '[1]Dettaglio pacchetti'!$A$1:$I$530, 4, FALSE), "")
    )
)</f>
        <v/>
      </c>
      <c r="G152" s="14" t="str" cm="1">
        <f t="array" ref="G152">IF(TRIM($B152)="DW01A", "ETL - EDW Estrattori",
    IF(TRIM($B152)="SG-ANAGRAFE", "SIGEA Anagrafe",
        IFERROR(
            VLOOKUP(
                INDEX('[1]Dettaglio pacchetti'!$AB$1:$AB$530,
                    _xlfn.AGGREGATE(15, 6,
                        (ROW($1:$345))/(ISNUMBER(SEARCH('[1]Dettaglio pacchetti'!$AB$1:$AB$530, $C152))),
                        1)
                ) &amp; "*",
                '[1]Dettaglio pacchetti'!$A$1:$I$530,
                5,
                FALSE
            ),
            IFERROR(VLOOKUP($C152, '[1]Dettaglio pacchetti'!$A$1:$I$530, 5, FALSE), "")
        )
    )
)</f>
        <v/>
      </c>
      <c r="H152" s="14" t="str" cm="1">
        <f t="array" ref="H152">IFERROR(
    VLOOKUP(
        INDEX('[1]Dettaglio pacchetti'!$AB$1:$AB$530,
            _xlfn.AGGREGATE(15, 6,
                (ROW($1:$345))/(ISNUMBER(SEARCH('[1]Dettaglio pacchetti'!$AB$1:$AB$530, $C152))),
                1)
        ) &amp; "*",
        '[1]Dettaglio pacchetti'!$A$1:$I$530,
        6,
        FALSE
    ),
    IFERROR(VLOOKUP($C152, '[1]Dettaglio pacchetti'!$A$1:$I$530, 6, FALSE), "")
)</f>
        <v/>
      </c>
      <c r="I152" s="7" t="str">
        <f t="shared" si="9"/>
        <v/>
      </c>
      <c r="J152" t="str">
        <f t="shared" si="7"/>
        <v/>
      </c>
      <c r="K152" t="str">
        <f t="shared" si="8"/>
        <v/>
      </c>
      <c r="L152" s="14" t="str" cm="1">
        <f t="array" ref="L152">IFERROR(
    VLOOKUP(
        INDEX('[1]Dettaglio pacchetti'!$AB$1:$AB$530,
            _xlfn.AGGREGATE(15, 6,
                ROW($1:$345)/(ISNUMBER(SEARCH('[1]Dettaglio pacchetti'!$AB$1:$AB$530, $C152))),
                1)
        ) &amp; "*",
        '[1]Dettaglio pacchetti'!$A$1:$I$530,
        8,
        FALSE
    ),
    IFERROR(VLOOKUP($C152, '[1]Dettaglio pacchetti'!$A$1:$I$530, 8, FALSE), "")
)</f>
        <v/>
      </c>
      <c r="M152" s="14" t="str" cm="1">
        <f t="array" ref="M152">IFERROR(
    VLOOKUP(
        INDEX('[1]Dettaglio pacchetti'!$AB$1:$AB$530,
            _xlfn.AGGREGATE(15, 6,
                ROW($1:$345)/(ISNUMBER(SEARCH('[1]Dettaglio pacchetti'!$AB$1:$AB$530, $C152))),
                1)
        ) &amp; "*",
        '[1]Dettaglio pacchetti'!$A$1:$I$530,
        9,
        FALSE
    ),
    IFERROR(VLOOKUP($C152, '[1]Dettaglio pacchetti'!$A$1:$I$530, 9, FALSE), "")
)</f>
        <v/>
      </c>
      <c r="N152" s="7"/>
      <c r="P152" s="6"/>
      <c r="AC152" t="str" cm="1">
        <f t="array" ref="AC152">IFERROR(
    VLOOKUP(
        INDEX('[1]Dettaglio pacchetti'!$AB$1:$AB$530, _xlfn.AGGREGATE(15,6,ROW($1:$345)/(ISNUMBER(SEARCH('[1]Dettaglio pacchetti'!$AB$1:$AB$530,$C152))),1)) &amp; "*",
        '[1]Dettaglio pacchetti'!$A$1:$I$530,
        7,
        FALSE
    ),
    IFERROR(VLOOKUP($C152, '[1]Dettaglio pacchetti'!$A$1:$I$530, 7, FALSE), "")
)</f>
        <v/>
      </c>
    </row>
    <row r="153" spans="3:30" hidden="1" x14ac:dyDescent="0.3">
      <c r="C153" s="22"/>
      <c r="D153" s="20" t="str" cm="1">
        <f t="array" ref="D153">IFERROR(
    _xlfn.LET(
        _xlpm.risultato,
        IFERROR(
            _xlfn.XLOOKUP(TRIM(UPPER(G153)),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pacchetti'!$E$1:$E$530))=TRIM(UPPER(G153)),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153" s="14" t="str" cm="1">
        <f t="array" ref="E153">IF(TRIM($B153)="SG-ANAGRAFE", "Bugni Batte",
    IF(TRIM($B153)="DW01A", "Cauda",
        IFERROR(
            VLOOKUP(
                INDEX('[1]Dettaglio pacchetti'!$AB$1:$AB$530,
                    _xlfn.AGGREGATE(15, 6,
                        (ROW($1:$345))/(ISNUMBER(SEARCH('[1]Dettaglio pacchetti'!$AB$1:$AB$530, $C153))),
                        1)
                ) &amp; "*",
                '[1]Dettaglio pacchetti'!$A$1:$I$530,
                3,
                FALSE
            ),
            IFERROR(VLOOKUP($C153, '[1]Dettaglio pacchetti'!$A$1:$I$530, 3, FALSE), "")
        )
    )
)</f>
        <v/>
      </c>
      <c r="F153" s="14" t="str" cm="1">
        <f t="array" ref="F153">IF(TRIM($B153)="DW01A", "ETL - EDW Estrattori",
    IFERROR(
        VLOOKUP(
            INDEX('[1]Dettaglio pacchetti'!$AB$1:$AB$530,
                _xlfn.AGGREGATE(15, 6,
                    (ROW($1:$345))/(ISNUMBER(SEARCH('[1]Dettaglio pacchetti'!$AB$1:$AB$530, $C153))),
                    1)
            ) &amp; "*",
            '[1]Dettaglio pacchetti'!$A$1:$I$530,
            4,
            FALSE
        ),
        IFERROR(VLOOKUP($C153, '[1]Dettaglio pacchetti'!$A$1:$I$530, 4, FALSE), "")
    )
)</f>
        <v/>
      </c>
      <c r="G153" s="14" t="str" cm="1">
        <f t="array" ref="G153">IF(TRIM($B153)="DW01A", "ETL - EDW Estrattori",
    IF(TRIM($B153)="SG-ANAGRAFE", "SIGEA Anagrafe",
        IFERROR(
            VLOOKUP(
                INDEX('[1]Dettaglio pacchetti'!$AB$1:$AB$530,
                    _xlfn.AGGREGATE(15, 6,
                        (ROW($1:$345))/(ISNUMBER(SEARCH('[1]Dettaglio pacchetti'!$AB$1:$AB$530, $C153))),
                        1)
                ) &amp; "*",
                '[1]Dettaglio pacchetti'!$A$1:$I$530,
                5,
                FALSE
            ),
            IFERROR(VLOOKUP($C153, '[1]Dettaglio pacchetti'!$A$1:$I$530, 5, FALSE), "")
        )
    )
)</f>
        <v/>
      </c>
      <c r="H153" s="14" t="str" cm="1">
        <f t="array" ref="H153">IFERROR(
    VLOOKUP(
        INDEX('[1]Dettaglio pacchetti'!$AB$1:$AB$530,
            _xlfn.AGGREGATE(15, 6,
                (ROW($1:$345))/(ISNUMBER(SEARCH('[1]Dettaglio pacchetti'!$AB$1:$AB$530, $C153))),
                1)
        ) &amp; "*",
        '[1]Dettaglio pacchetti'!$A$1:$I$530,
        6,
        FALSE
    ),
    IFERROR(VLOOKUP($C153, '[1]Dettaglio pacchetti'!$A$1:$I$530, 6, FALSE), "")
)</f>
        <v/>
      </c>
      <c r="I153" s="7" t="str">
        <f t="shared" si="9"/>
        <v/>
      </c>
      <c r="J153" t="str">
        <f t="shared" si="7"/>
        <v/>
      </c>
      <c r="K153" t="str">
        <f t="shared" si="8"/>
        <v/>
      </c>
      <c r="L153" s="14" t="str" cm="1">
        <f t="array" ref="L153">IFERROR(
    VLOOKUP(
        INDEX('[1]Dettaglio pacchetti'!$AB$1:$AB$530,
            _xlfn.AGGREGATE(15, 6,
                ROW($1:$345)/(ISNUMBER(SEARCH('[1]Dettaglio pacchetti'!$AB$1:$AB$530, $C153))),
                1)
        ) &amp; "*",
        '[1]Dettaglio pacchetti'!$A$1:$I$530,
        8,
        FALSE
    ),
    IFERROR(VLOOKUP($C153, '[1]Dettaglio pacchetti'!$A$1:$I$530, 8, FALSE), "")
)</f>
        <v/>
      </c>
      <c r="M153" s="14" t="str" cm="1">
        <f t="array" ref="M153">IFERROR(
    VLOOKUP(
        INDEX('[1]Dettaglio pacchetti'!$AB$1:$AB$530,
            _xlfn.AGGREGATE(15, 6,
                ROW($1:$345)/(ISNUMBER(SEARCH('[1]Dettaglio pacchetti'!$AB$1:$AB$530, $C153))),
                1)
        ) &amp; "*",
        '[1]Dettaglio pacchetti'!$A$1:$I$530,
        9,
        FALSE
    ),
    IFERROR(VLOOKUP($C153, '[1]Dettaglio pacchetti'!$A$1:$I$530, 9, FALSE), "")
)</f>
        <v/>
      </c>
      <c r="N153" s="7"/>
      <c r="P153" s="6"/>
      <c r="AC153" t="str" cm="1">
        <f t="array" ref="AC153">IFERROR(
    VLOOKUP(
        INDEX('[1]Dettaglio pacchetti'!$AB$1:$AB$530, _xlfn.AGGREGATE(15,6,ROW($1:$345)/(ISNUMBER(SEARCH('[1]Dettaglio pacchetti'!$AB$1:$AB$530,$C153))),1)) &amp; "*",
        '[1]Dettaglio pacchetti'!$A$1:$I$530,
        7,
        FALSE
    ),
    IFERROR(VLOOKUP($C153, '[1]Dettaglio pacchetti'!$A$1:$I$530, 7, FALSE), "")
)</f>
        <v/>
      </c>
    </row>
    <row r="154" spans="3:30" hidden="1" x14ac:dyDescent="0.3">
      <c r="C154" s="22"/>
      <c r="D154" s="7" t="str" cm="1">
        <f t="array" ref="D154">IFERROR(
    _xlfn.LET(
        _xlpm.risultato,
        IFERROR(
            _xlfn.XLOOKUP(TRIM(UPPER(G154)),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pacchetti'!$E$1:$E$530))=TRIM(UPPER(G154)),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154" s="14" t="str" cm="1">
        <f t="array" ref="E154">IF(TRIM($B154)="SG-ANAGRAFE", "Bugni Batte",
    IF(TRIM($B154)="DW01A", "Cauda",
        IFERROR(
            VLOOKUP(
                INDEX('[1]Dettaglio pacchetti'!$AB$1:$AB$530,
                    _xlfn.AGGREGATE(15, 6,
                        (ROW($1:$345))/(ISNUMBER(SEARCH('[1]Dettaglio pacchetti'!$AB$1:$AB$530, $C154))),
                        1)
                ) &amp; "*",
                '[1]Dettaglio pacchetti'!$A$1:$I$530,
                3,
                FALSE
            ),
            IFERROR(VLOOKUP($C154, '[1]Dettaglio pacchetti'!$A$1:$I$530, 3, FALSE), "")
        )
    )
)</f>
        <v/>
      </c>
      <c r="F154" s="14" t="str" cm="1">
        <f t="array" ref="F154">IF(TRIM($B154)="DW01A", "ETL - EDW Estrattori",
    IFERROR(
        VLOOKUP(
            INDEX('[1]Dettaglio pacchetti'!$AB$1:$AB$530,
                _xlfn.AGGREGATE(15, 6,
                    (ROW($1:$345))/(ISNUMBER(SEARCH('[1]Dettaglio pacchetti'!$AB$1:$AB$530, $C154))),
                    1)
            ) &amp; "*",
            '[1]Dettaglio pacchetti'!$A$1:$I$530,
            4,
            FALSE
        ),
        IFERROR(VLOOKUP($C154, '[1]Dettaglio pacchetti'!$A$1:$I$530, 4, FALSE), "")
    )
)</f>
        <v/>
      </c>
      <c r="G154" s="14" t="str" cm="1">
        <f t="array" ref="G154">IF(TRIM($B154)="DW01A", "ETL - EDW Estrattori",
    IF(TRIM($B154)="SG-ANAGRAFE", "SIGEA Anagrafe",
        IFERROR(
            VLOOKUP(
                INDEX('[1]Dettaglio pacchetti'!$AB$1:$AB$530,
                    _xlfn.AGGREGATE(15, 6,
                        (ROW($1:$345))/(ISNUMBER(SEARCH('[1]Dettaglio pacchetti'!$AB$1:$AB$530, $C154))),
                        1)
                ) &amp; "*",
                '[1]Dettaglio pacchetti'!$A$1:$I$530,
                5,
                FALSE
            ),
            IFERROR(VLOOKUP($C154, '[1]Dettaglio pacchetti'!$A$1:$I$530, 5, FALSE), "")
        )
    )
)</f>
        <v/>
      </c>
      <c r="H154" s="14" t="str" cm="1">
        <f t="array" ref="H154">IFERROR(
    VLOOKUP(
        INDEX('[1]Dettaglio pacchetti'!$AB$1:$AB$530,
            _xlfn.AGGREGATE(15, 6,
                (ROW($1:$345))/(ISNUMBER(SEARCH('[1]Dettaglio pacchetti'!$AB$1:$AB$530, $C154))),
                1)
        ) &amp; "*",
        '[1]Dettaglio pacchetti'!$A$1:$I$530,
        6,
        FALSE
    ),
    IFERROR(VLOOKUP($C154, '[1]Dettaglio pacchetti'!$A$1:$I$530, 6, FALSE), "")
)</f>
        <v/>
      </c>
      <c r="I154" s="7" t="str">
        <f t="shared" ref="I154:I157" si="10">IF(OR(AA154="", AB154=""), "", HYPERLINK(AA154, AB154))</f>
        <v/>
      </c>
      <c r="J154" t="str">
        <f t="shared" ref="J154:J157" si="11">IF($AC154="", "",
    IF(ISNUMBER(SEARCH("Ikan", $AD154)),
        "",
        HYPERLINK("https://dev.azure.com/realeitesorg/" &amp; $AC154, $AC154)
    )
)</f>
        <v/>
      </c>
      <c r="K154" t="str">
        <f t="shared" ref="K154:K157" si="12">IF($AC154="", "", IF(ISNUMBER(SEARCH("Ikan", $AD154)), $AC154, "" ) )</f>
        <v/>
      </c>
      <c r="L154" s="14" t="str" cm="1">
        <f t="array" ref="L154">IFERROR(
    VLOOKUP(
        INDEX('[1]Dettaglio pacchetti'!$AB$1:$AB$530,
            _xlfn.AGGREGATE(15, 6,
                ROW($1:$345)/(ISNUMBER(SEARCH('[1]Dettaglio pacchetti'!$AB$1:$AB$530, $C154))),
                1)
        ) &amp; "*",
        '[1]Dettaglio pacchetti'!$A$1:$I$530,
        8,
        FALSE
    ),
    IFERROR(VLOOKUP($C154, '[1]Dettaglio pacchetti'!$A$1:$I$530, 8, FALSE), "")
)</f>
        <v/>
      </c>
      <c r="M154" s="14" t="str" cm="1">
        <f t="array" ref="M154">IFERROR(
    VLOOKUP(
        INDEX('[1]Dettaglio pacchetti'!$AB$1:$AB$530,
            _xlfn.AGGREGATE(15, 6,
                ROW($1:$345)/(ISNUMBER(SEARCH('[1]Dettaglio pacchetti'!$AB$1:$AB$530, $C154))),
                1)
        ) &amp; "*",
        '[1]Dettaglio pacchetti'!$A$1:$I$530,
        9,
        FALSE
    ),
    IFERROR(VLOOKUP($C154, '[1]Dettaglio pacchetti'!$A$1:$I$530, 9, FALSE), "")
)</f>
        <v/>
      </c>
      <c r="P154" s="6"/>
      <c r="AC154" t="str" cm="1">
        <f t="array" ref="AC154">IFERROR(
    VLOOKUP(
        INDEX('[1]Dettaglio pacchetti'!$AB$1:$AB$530, _xlfn.AGGREGATE(15,6,ROW($1:$345)/(ISNUMBER(SEARCH('[1]Dettaglio pacchetti'!$AB$1:$AB$530,$C154))),1)) &amp; "*",
        '[1]Dettaglio pacchetti'!$A$1:$I$530,
        7,
        FALSE
    ),
    IFERROR(VLOOKUP($C154, '[1]Dettaglio pacchetti'!$A$1:$I$530, 7, FALSE), "")
)</f>
        <v/>
      </c>
    </row>
    <row r="155" spans="3:30" hidden="1" x14ac:dyDescent="0.3">
      <c r="C155" s="22"/>
      <c r="D155" s="7" t="str" cm="1">
        <f t="array" ref="D155">IFERROR(
    _xlfn.LET(
        _xlpm.risultato,
        IFERROR(
            _xlfn.XLOOKUP(TRIM(UPPER(G155)),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pacchetti'!$E$1:$E$530))=TRIM(UPPER(G155)),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155" s="14" t="str" cm="1">
        <f t="array" ref="E155">IF(TRIM($B155)="SG-ANAGRAFE", "Bugni Batte",
    IF(TRIM($B155)="DW01A", "Cauda",
        IFERROR(
            VLOOKUP(
                INDEX('[1]Dettaglio pacchetti'!$AB$1:$AB$530,
                    _xlfn.AGGREGATE(15, 6,
                        (ROW($1:$345))/(ISNUMBER(SEARCH('[1]Dettaglio pacchetti'!$AB$1:$AB$530, $C155))),
                        1)
                ) &amp; "*",
                '[1]Dettaglio pacchetti'!$A$1:$I$530,
                3,
                FALSE
            ),
            IFERROR(VLOOKUP($C155, '[1]Dettaglio pacchetti'!$A$1:$I$530, 3, FALSE), "")
        )
    )
)</f>
        <v/>
      </c>
      <c r="F155" s="14" t="str" cm="1">
        <f t="array" ref="F155">IF(TRIM($B155)="DW01A", "ETL - EDW Estrattori",
    IFERROR(
        VLOOKUP(
            INDEX('[1]Dettaglio pacchetti'!$AB$1:$AB$530,
                _xlfn.AGGREGATE(15, 6,
                    (ROW($1:$345))/(ISNUMBER(SEARCH('[1]Dettaglio pacchetti'!$AB$1:$AB$530, $C155))),
                    1)
            ) &amp; "*",
            '[1]Dettaglio pacchetti'!$A$1:$I$530,
            4,
            FALSE
        ),
        IFERROR(VLOOKUP($C155, '[1]Dettaglio pacchetti'!$A$1:$I$530, 4, FALSE), "")
    )
)</f>
        <v/>
      </c>
      <c r="G155" s="14" t="str" cm="1">
        <f t="array" ref="G155">IF(TRIM($B155)="DW01A", "ETL - EDW Estrattori",
    IF(TRIM($B155)="SG-ANAGRAFE", "SIGEA Anagrafe",
        IFERROR(
            VLOOKUP(
                INDEX('[1]Dettaglio pacchetti'!$AB$1:$AB$530,
                    _xlfn.AGGREGATE(15, 6,
                        (ROW($1:$345))/(ISNUMBER(SEARCH('[1]Dettaglio pacchetti'!$AB$1:$AB$530, $C155))),
                        1)
                ) &amp; "*",
                '[1]Dettaglio pacchetti'!$A$1:$I$530,
                5,
                FALSE
            ),
            IFERROR(VLOOKUP($C155, '[1]Dettaglio pacchetti'!$A$1:$I$530, 5, FALSE), "")
        )
    )
)</f>
        <v/>
      </c>
      <c r="H155" s="14" t="str" cm="1">
        <f t="array" ref="H155">IFERROR(
    VLOOKUP(
        INDEX('[1]Dettaglio pacchetti'!$AB$1:$AB$530,
            _xlfn.AGGREGATE(15, 6,
                (ROW($1:$345))/(ISNUMBER(SEARCH('[1]Dettaglio pacchetti'!$AB$1:$AB$530, $C155))),
                1)
        ) &amp; "*",
        '[1]Dettaglio pacchetti'!$A$1:$I$530,
        6,
        FALSE
    ),
    IFERROR(VLOOKUP($C155, '[1]Dettaglio pacchetti'!$A$1:$I$530, 6, FALSE), "")
)</f>
        <v/>
      </c>
      <c r="I155" s="7" t="str">
        <f t="shared" si="10"/>
        <v/>
      </c>
      <c r="J155" t="str">
        <f t="shared" si="11"/>
        <v/>
      </c>
      <c r="K155" t="str">
        <f t="shared" si="12"/>
        <v/>
      </c>
      <c r="L155" s="14" t="str" cm="1">
        <f t="array" ref="L155">IFERROR(
    VLOOKUP(
        INDEX('[1]Dettaglio pacchetti'!$AB$1:$AB$530,
            _xlfn.AGGREGATE(15, 6,
                ROW($1:$345)/(ISNUMBER(SEARCH('[1]Dettaglio pacchetti'!$AB$1:$AB$530, $C155))),
                1)
        ) &amp; "*",
        '[1]Dettaglio pacchetti'!$A$1:$I$530,
        8,
        FALSE
    ),
    IFERROR(VLOOKUP($C155, '[1]Dettaglio pacchetti'!$A$1:$I$530, 8, FALSE), "")
)</f>
        <v/>
      </c>
      <c r="M155" s="14" t="str" cm="1">
        <f t="array" ref="M155">IFERROR(
    VLOOKUP(
        INDEX('[1]Dettaglio pacchetti'!$AB$1:$AB$530,
            _xlfn.AGGREGATE(15, 6,
                ROW($1:$345)/(ISNUMBER(SEARCH('[1]Dettaglio pacchetti'!$AB$1:$AB$530, $C155))),
                1)
        ) &amp; "*",
        '[1]Dettaglio pacchetti'!$A$1:$I$530,
        9,
        FALSE
    ),
    IFERROR(VLOOKUP($C155, '[1]Dettaglio pacchetti'!$A$1:$I$530, 9, FALSE), "")
)</f>
        <v/>
      </c>
      <c r="P155" s="6"/>
      <c r="AC155" t="str" cm="1">
        <f t="array" ref="AC155">IFERROR(
    VLOOKUP(
        INDEX('[1]Dettaglio pacchetti'!$AB$1:$AB$530, _xlfn.AGGREGATE(15,6,ROW($1:$345)/(ISNUMBER(SEARCH('[1]Dettaglio pacchetti'!$AB$1:$AB$530,$C155))),1)) &amp; "*",
        '[1]Dettaglio pacchetti'!$A$1:$I$530,
        7,
        FALSE
    ),
    IFERROR(VLOOKUP($C155, '[1]Dettaglio pacchetti'!$A$1:$I$530, 7, FALSE), "")
)</f>
        <v/>
      </c>
    </row>
    <row r="156" spans="3:30" hidden="1" x14ac:dyDescent="0.3">
      <c r="C156" s="22"/>
      <c r="D156" s="7" t="str" cm="1">
        <f t="array" ref="D156">IFERROR(
    _xlfn.LET(
        _xlpm.risultato,
        IFERROR(
            _xlfn.XLOOKUP(TRIM(UPPER(G156)),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pacchetti'!$E$1:$E$530))=TRIM(UPPER(G156)),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156" s="14" t="str" cm="1">
        <f t="array" ref="E156">IF(TRIM($B156)="SG-ANAGRAFE", "Bugni Batte",
    IF(TRIM($B156)="DW01A", "Cauda",
        IFERROR(
            VLOOKUP(
                INDEX('[1]Dettaglio pacchetti'!$AB$1:$AB$530,
                    _xlfn.AGGREGATE(15, 6,
                        (ROW($1:$345))/(ISNUMBER(SEARCH('[1]Dettaglio pacchetti'!$AB$1:$AB$530, $C156))),
                        1)
                ) &amp; "*",
                '[1]Dettaglio pacchetti'!$A$1:$I$530,
                3,
                FALSE
            ),
            IFERROR(VLOOKUP($C156, '[1]Dettaglio pacchetti'!$A$1:$I$530, 3, FALSE), "")
        )
    )
)</f>
        <v/>
      </c>
      <c r="F156" s="14" t="str" cm="1">
        <f t="array" ref="F156">IF(TRIM($B156)="DW01A", "ETL - EDW Estrattori",
    IFERROR(
        VLOOKUP(
            INDEX('[1]Dettaglio pacchetti'!$AB$1:$AB$530,
                _xlfn.AGGREGATE(15, 6,
                    (ROW($1:$345))/(ISNUMBER(SEARCH('[1]Dettaglio pacchetti'!$AB$1:$AB$530, $C156))),
                    1)
            ) &amp; "*",
            '[1]Dettaglio pacchetti'!$A$1:$I$530,
            4,
            FALSE
        ),
        IFERROR(VLOOKUP($C156, '[1]Dettaglio pacchetti'!$A$1:$I$530, 4, FALSE), "")
    )
)</f>
        <v/>
      </c>
      <c r="G156" s="14" t="str" cm="1">
        <f t="array" ref="G156">IF(TRIM($B156)="DW01A", "ETL - EDW Estrattori",
    IF(TRIM($B156)="SG-ANAGRAFE", "SIGEA Anagrafe",
        IFERROR(
            VLOOKUP(
                INDEX('[1]Dettaglio pacchetti'!$AB$1:$AB$530,
                    _xlfn.AGGREGATE(15, 6,
                        (ROW($1:$345))/(ISNUMBER(SEARCH('[1]Dettaglio pacchetti'!$AB$1:$AB$530, $C156))),
                        1)
                ) &amp; "*",
                '[1]Dettaglio pacchetti'!$A$1:$I$530,
                5,
                FALSE
            ),
            IFERROR(VLOOKUP($C156, '[1]Dettaglio pacchetti'!$A$1:$I$530, 5, FALSE), "")
        )
    )
)</f>
        <v/>
      </c>
      <c r="H156" s="14" t="str" cm="1">
        <f t="array" ref="H156">IFERROR(
    VLOOKUP(
        INDEX('[1]Dettaglio pacchetti'!$AB$1:$AB$530,
            _xlfn.AGGREGATE(15, 6,
                (ROW($1:$345))/(ISNUMBER(SEARCH('[1]Dettaglio pacchetti'!$AB$1:$AB$530, $C156))),
                1)
        ) &amp; "*",
        '[1]Dettaglio pacchetti'!$A$1:$I$530,
        6,
        FALSE
    ),
    IFERROR(VLOOKUP($C156, '[1]Dettaglio pacchetti'!$A$1:$I$530, 6, FALSE), "")
)</f>
        <v/>
      </c>
      <c r="I156" s="7" t="str">
        <f t="shared" si="10"/>
        <v/>
      </c>
      <c r="J156" t="str">
        <f t="shared" si="11"/>
        <v/>
      </c>
      <c r="K156" t="str">
        <f t="shared" si="12"/>
        <v/>
      </c>
      <c r="L156" s="14" t="str" cm="1">
        <f t="array" ref="L156">IFERROR(
    VLOOKUP(
        INDEX('[1]Dettaglio pacchetti'!$AB$1:$AB$530,
            _xlfn.AGGREGATE(15, 6,
                ROW($1:$345)/(ISNUMBER(SEARCH('[1]Dettaglio pacchetti'!$AB$1:$AB$530, $C156))),
                1)
        ) &amp; "*",
        '[1]Dettaglio pacchetti'!$A$1:$I$530,
        8,
        FALSE
    ),
    IFERROR(VLOOKUP($C156, '[1]Dettaglio pacchetti'!$A$1:$I$530, 8, FALSE), "")
)</f>
        <v/>
      </c>
      <c r="M156" s="14" t="str" cm="1">
        <f t="array" ref="M156">IFERROR(
    VLOOKUP(
        INDEX('[1]Dettaglio pacchetti'!$AB$1:$AB$530,
            _xlfn.AGGREGATE(15, 6,
                ROW($1:$345)/(ISNUMBER(SEARCH('[1]Dettaglio pacchetti'!$AB$1:$AB$530, $C156))),
                1)
        ) &amp; "*",
        '[1]Dettaglio pacchetti'!$A$1:$I$530,
        9,
        FALSE
    ),
    IFERROR(VLOOKUP($C156, '[1]Dettaglio pacchetti'!$A$1:$I$530, 9, FALSE), "")
)</f>
        <v/>
      </c>
      <c r="AC156" t="str" cm="1">
        <f t="array" ref="AC156">IFERROR(
    VLOOKUP(
        INDEX('[1]Dettaglio pacchetti'!$AB$1:$AB$530, _xlfn.AGGREGATE(15,6,ROW($1:$345)/(ISNUMBER(SEARCH('[1]Dettaglio pacchetti'!$AB$1:$AB$530,$C156))),1)) &amp; "*",
        '[1]Dettaglio pacchetti'!$A$1:$I$530,
        7,
        FALSE
    ),
    IFERROR(VLOOKUP($C156, '[1]Dettaglio pacchetti'!$A$1:$I$530, 7, FALSE), "")
)</f>
        <v/>
      </c>
    </row>
    <row r="157" spans="3:30" hidden="1" x14ac:dyDescent="0.3">
      <c r="C157" s="22"/>
      <c r="D157" s="7" t="str" cm="1">
        <f t="array" ref="D157">IFERROR(
    _xlfn.LET(
        _xlpm.risultato,
        IFERROR(
            _xlfn.XLOOKUP(TRIM(UPPER(G157)),
                TRIM(UPPER(Applicazioni!$C$1:$C$474)),
                Applicazioni!$B$1:$B$474
            ),
            _xlfn.XLOOKUP(
                TRIM(UPPER(
                    INDEX(
                        _xlfn._xlws.FILTER('[1]Dettaglio pacchetti'!$B$1:$B$530,
                            TRIM(UPPER('[1]Dettaglio pacchetti'!$E$1:$E$530))=TRIM(UPPER(G157)),
                            ""
                        ),
                    1)
                )),
                TRIM(UPPER(Applicazioni!$C$1:$C$474)),
                Applicazioni!$B$1:$B$474
            )
        ),
        IF(_xlpm.risultato=0, "", _xlpm.risultato)
    ),
    ""
)</f>
        <v/>
      </c>
      <c r="E157" s="14" t="str" cm="1">
        <f t="array" ref="E157">IF(TRIM($B157)="SG-ANAGRAFE", "Bugni Batte",
    IF(TRIM($B157)="DW01A", "Cauda",
        IFERROR(
            VLOOKUP(
                INDEX('[1]Dettaglio pacchetti'!$AB$1:$AB$530,
                    _xlfn.AGGREGATE(15, 6,
                        (ROW($1:$345))/(ISNUMBER(SEARCH('[1]Dettaglio pacchetti'!$AB$1:$AB$530, $C157))),
                        1)
                ) &amp; "*",
                '[1]Dettaglio pacchetti'!$A$1:$I$530,
                3,
                FALSE
            ),
            IFERROR(VLOOKUP($C157, '[1]Dettaglio pacchetti'!$A$1:$I$530, 3, FALSE), "")
        )
    )
)</f>
        <v/>
      </c>
      <c r="F157" s="14" t="str" cm="1">
        <f t="array" ref="F157">IF(TRIM($B157)="DW01A", "ETL - EDW Estrattori",
    IFERROR(
        VLOOKUP(
            INDEX('[1]Dettaglio pacchetti'!$AB$1:$AB$530,
                _xlfn.AGGREGATE(15, 6,
                    (ROW($1:$345))/(ISNUMBER(SEARCH('[1]Dettaglio pacchetti'!$AB$1:$AB$530, $C157))),
                    1)
            ) &amp; "*",
            '[1]Dettaglio pacchetti'!$A$1:$I$530,
            4,
            FALSE
        ),
        IFERROR(VLOOKUP($C157, '[1]Dettaglio pacchetti'!$A$1:$I$530, 4, FALSE), "")
    )
)</f>
        <v/>
      </c>
      <c r="G157" s="14" t="str" cm="1">
        <f t="array" ref="G157">IF(TRIM($B157)="DW01A", "ETL - EDW Estrattori",
    IF(TRIM($B157)="SG-ANAGRAFE", "SIGEA Anagrafe",
        IFERROR(
            VLOOKUP(
                INDEX('[1]Dettaglio pacchetti'!$AB$1:$AB$530,
                    _xlfn.AGGREGATE(15, 6,
                        (ROW($1:$345))/(ISNUMBER(SEARCH('[1]Dettaglio pacchetti'!$AB$1:$AB$530, $C157))),
                        1)
                ) &amp; "*",
                '[1]Dettaglio pacchetti'!$A$1:$I$530,
                5,
                FALSE
            ),
            IFERROR(VLOOKUP($C157, '[1]Dettaglio pacchetti'!$A$1:$I$530, 5, FALSE), "")
        )
    )
)</f>
        <v/>
      </c>
      <c r="H157" s="14" t="str" cm="1">
        <f t="array" ref="H157">IFERROR(
    VLOOKUP(
        INDEX('[1]Dettaglio pacchetti'!$AB$1:$AB$530,
            _xlfn.AGGREGATE(15, 6,
                (ROW($1:$345))/(ISNUMBER(SEARCH('[1]Dettaglio pacchetti'!$AB$1:$AB$530, $C157))),
                1)
        ) &amp; "*",
        '[1]Dettaglio pacchetti'!$A$1:$I$530,
        6,
        FALSE
    ),
    IFERROR(VLOOKUP($C157, '[1]Dettaglio pacchetti'!$A$1:$I$530, 6, FALSE), "")
)</f>
        <v/>
      </c>
      <c r="I157" s="7" t="str">
        <f t="shared" si="10"/>
        <v/>
      </c>
      <c r="J157" t="str">
        <f t="shared" si="11"/>
        <v/>
      </c>
      <c r="K157" t="str">
        <f t="shared" si="12"/>
        <v/>
      </c>
      <c r="L157" s="14" t="str" cm="1">
        <f t="array" ref="L157">IFERROR(
    VLOOKUP(
        INDEX('[1]Dettaglio pacchetti'!$AB$1:$AB$530,
            _xlfn.AGGREGATE(15, 6,
                ROW($1:$345)/(ISNUMBER(SEARCH('[1]Dettaglio pacchetti'!$AB$1:$AB$530, $C157))),
                1)
        ) &amp; "*",
        '[1]Dettaglio pacchetti'!$A$1:$I$530,
        8,
        FALSE
    ),
    IFERROR(VLOOKUP($C157, '[1]Dettaglio pacchetti'!$A$1:$I$530, 8, FALSE), "")
)</f>
        <v/>
      </c>
      <c r="M157" s="14" t="str" cm="1">
        <f t="array" ref="M157">IFERROR(
    VLOOKUP(
        INDEX('[1]Dettaglio pacchetti'!$AB$1:$AB$530,
            _xlfn.AGGREGATE(15, 6,
                ROW($1:$345)/(ISNUMBER(SEARCH('[1]Dettaglio pacchetti'!$AB$1:$AB$530, $C157))),
                1)
        ) &amp; "*",
        '[1]Dettaglio pacchetti'!$A$1:$I$530,
        9,
        FALSE
    ),
    IFERROR(VLOOKUP($C157, '[1]Dettaglio pacchetti'!$A$1:$I$530, 9, FALSE), "")
)</f>
        <v/>
      </c>
      <c r="P157" s="6"/>
      <c r="AC157" t="str" cm="1">
        <f t="array" ref="AC157">IFERROR(
    VLOOKUP(
        INDEX('[1]Dettaglio pacchetti'!$AB$1:$AB$530, _xlfn.AGGREGATE(15,6,ROW($1:$345)/(ISNUMBER(SEARCH('[1]Dettaglio pacchetti'!$AB$1:$AB$530,$C157))),1)) &amp; "*",
        '[1]Dettaglio pacchetti'!$A$1:$I$530,
        7,
        FALSE
    ),
    IFERROR(VLOOKUP($C157, '[1]Dettaglio pacchetti'!$A$1:$I$530, 7, FALSE), "")
)</f>
        <v/>
      </c>
    </row>
    <row r="158" spans="3:30" ht="15.6" x14ac:dyDescent="0.3">
      <c r="C158" s="26"/>
      <c r="AA158" t="str" cm="1">
        <f t="array" ref="AA158">IFERROR(VLOOKUP(INDEX('[1]Dettaglio pacchetti'!$AB$1:$AB$530, _xlfn.AGGREGATE(15, 6, (ROW($1:$345))/(ISNUMBER(SEARCH('[1]Dettaglio pacchetti'!$AB$1:$AB$530, $C158))), 1)) &amp; "*", '[1]Dettaglio pacchetti'!$A$1:$N$530, 13, FALSE) &amp; "", "")</f>
        <v/>
      </c>
      <c r="AB158" t="str" cm="1">
        <f t="array" ref="AB158">IF(ISNUMBER(SEARCH("dev.azure.com", AA158)), IFERROR(VLOOKUP(INDEX('[1]Dettaglio pacchetti'!$AB$1:$AB$530, _xlfn.AGGREGATE(15, 6, (ROW($1:$345))/(ISNUMBER(SEARCH('[1]Dettaglio pacchetti'!$AB$1:$AB$530, $C158))), 1)) &amp; "*", '[1]Dettaglio pacchetti'!$A$1:$N$530, 1, FALSE) &amp; "", ""), "")</f>
        <v/>
      </c>
      <c r="AC158" t="str" cm="1">
        <f t="array" ref="AC158">IFERROR(
    VLOOKUP(
        INDEX('[1]Dettaglio pacchetti'!$AB$1:$AB$530, _xlfn.AGGREGATE(15,6,ROW($1:$345)/(ISNUMBER(SEARCH('[1]Dettaglio pacchetti'!$AB$1:$AB$530,$C158))),1)) &amp; "*",
        '[1]Dettaglio pacchetti'!$A$1:$I$530,
        7,
        FALSE
    ),
    IFERROR(VLOOKUP($C158, '[1]Dettaglio pacchetti'!$A$1:$I$530, 7, FALSE), "")
)</f>
        <v/>
      </c>
      <c r="AD158" t="str" cm="1">
        <f t="array" ref="AD158">IFERROR(
    VLOOKUP(
        INDEX('[1]Dettaglio pacchetti'!$AB$1:$AB$530, _xlfn.AGGREGATE(15,6,ROW($1:$345)/(ISNUMBER(SEARCH('[1]Dettaglio pacchetti'!$AB$1:$AB$530,$C158))),1)) &amp; "*",
        '[1]Dettaglio pacchetti'!$A$1:$I$530,
        6,
        FALSE
    ),
    IFERROR(VLOOKUP($C158, '[1]Dettaglio pacchetti'!$A$1:$I$530, 6, FALSE), "")
)</f>
        <v/>
      </c>
    </row>
    <row r="159" spans="3:30" x14ac:dyDescent="0.3">
      <c r="AA159" t="str" cm="1">
        <f t="array" ref="AA159">IFERROR(VLOOKUP(INDEX('[1]Dettaglio pacchetti'!$AB$1:$AB$530, _xlfn.AGGREGATE(15, 6, (ROW($1:$345))/(ISNUMBER(SEARCH('[1]Dettaglio pacchetti'!$AB$1:$AB$530, $C159))), 1)) &amp; "*", '[1]Dettaglio pacchetti'!$A$1:$N$530, 13, FALSE) &amp; "", "")</f>
        <v/>
      </c>
      <c r="AB159" t="str" cm="1">
        <f t="array" ref="AB159">IF(ISNUMBER(SEARCH("dev.azure.com", AA159)), IFERROR(VLOOKUP(INDEX('[1]Dettaglio pacchetti'!$AB$1:$AB$530, _xlfn.AGGREGATE(15, 6, (ROW($1:$345))/(ISNUMBER(SEARCH('[1]Dettaglio pacchetti'!$AB$1:$AB$530, $C159))), 1)) &amp; "*", '[1]Dettaglio pacchetti'!$A$1:$N$530, 1, FALSE) &amp; "", ""), "")</f>
        <v/>
      </c>
      <c r="AC159" t="str" cm="1">
        <f t="array" ref="AC159">IFERROR(
    VLOOKUP(
        INDEX('[1]Dettaglio pacchetti'!$AB$1:$AB$530, _xlfn.AGGREGATE(15,6,ROW($1:$345)/(ISNUMBER(SEARCH('[1]Dettaglio pacchetti'!$AB$1:$AB$530,$C159))),1)) &amp; "*",
        '[1]Dettaglio pacchetti'!$A$1:$I$530,
        7,
        FALSE
    ),
    IFERROR(VLOOKUP($C159, '[1]Dettaglio pacchetti'!$A$1:$I$530, 7, FALSE), "")
)</f>
        <v/>
      </c>
      <c r="AD159" t="str" cm="1">
        <f t="array" ref="AD159">IFERROR(
    VLOOKUP(
        INDEX('[1]Dettaglio pacchetti'!$AB$1:$AB$530, _xlfn.AGGREGATE(15,6,ROW($1:$345)/(ISNUMBER(SEARCH('[1]Dettaglio pacchetti'!$AB$1:$AB$530,$C159))),1)) &amp; "*",
        '[1]Dettaglio pacchetti'!$A$1:$I$530,
        6,
        FALSE
    ),
    IFERROR(VLOOKUP($C159, '[1]Dettaglio pacchetti'!$A$1:$I$530, 6, FALSE), "")
)</f>
        <v/>
      </c>
    </row>
    <row r="160" spans="3:30" x14ac:dyDescent="0.3">
      <c r="AA160" t="str" cm="1">
        <f t="array" ref="AA160">IFERROR(VLOOKUP(INDEX('[1]Dettaglio pacchetti'!$AB$1:$AB$530, _xlfn.AGGREGATE(15, 6, (ROW($1:$345))/(ISNUMBER(SEARCH('[1]Dettaglio pacchetti'!$AB$1:$AB$530, $C160))), 1)) &amp; "*", '[1]Dettaglio pacchetti'!$A$1:$N$530, 13, FALSE) &amp; "", "")</f>
        <v/>
      </c>
      <c r="AB160" t="str" cm="1">
        <f t="array" ref="AB160">IF(ISNUMBER(SEARCH("dev.azure.com", AA160)), IFERROR(VLOOKUP(INDEX('[1]Dettaglio pacchetti'!$AB$1:$AB$530, _xlfn.AGGREGATE(15, 6, (ROW($1:$345))/(ISNUMBER(SEARCH('[1]Dettaglio pacchetti'!$AB$1:$AB$530, $C160))), 1)) &amp; "*", '[1]Dettaglio pacchetti'!$A$1:$N$530, 1, FALSE) &amp; "", ""), "")</f>
        <v/>
      </c>
      <c r="AC160" t="str" cm="1">
        <f t="array" ref="AC160">IFERROR(
    VLOOKUP(
        INDEX('[1]Dettaglio pacchetti'!$AB$1:$AB$530, _xlfn.AGGREGATE(15,6,ROW($1:$345)/(ISNUMBER(SEARCH('[1]Dettaglio pacchetti'!$AB$1:$AB$530,$C160))),1)) &amp; "*",
        '[1]Dettaglio pacchetti'!$A$1:$I$530,
        7,
        FALSE
    ),
    IFERROR(VLOOKUP($C160, '[1]Dettaglio pacchetti'!$A$1:$I$530, 7, FALSE), "")
)</f>
        <v/>
      </c>
      <c r="AD160" t="str" cm="1">
        <f t="array" ref="AD160">IFERROR(
    VLOOKUP(
        INDEX('[1]Dettaglio pacchetti'!$AB$1:$AB$530, _xlfn.AGGREGATE(15,6,ROW($1:$345)/(ISNUMBER(SEARCH('[1]Dettaglio pacchetti'!$AB$1:$AB$530,$C160))),1)) &amp; "*",
        '[1]Dettaglio pacchetti'!$A$1:$I$530,
        6,
        FALSE
    ),
    IFERROR(VLOOKUP($C160, '[1]Dettaglio pacchetti'!$A$1:$I$530, 6, FALSE), "")
)</f>
        <v/>
      </c>
    </row>
    <row r="161" spans="27:30" x14ac:dyDescent="0.3">
      <c r="AA161" t="str" cm="1">
        <f t="array" ref="AA161">IFERROR(VLOOKUP(INDEX('[1]Dettaglio pacchetti'!$AB$1:$AB$530, _xlfn.AGGREGATE(15, 6, (ROW($1:$345))/(ISNUMBER(SEARCH('[1]Dettaglio pacchetti'!$AB$1:$AB$530, $C161))), 1)) &amp; "*", '[1]Dettaglio pacchetti'!$A$1:$N$530, 13, FALSE) &amp; "", "")</f>
        <v/>
      </c>
      <c r="AB161" t="str" cm="1">
        <f t="array" ref="AB161">IF(ISNUMBER(SEARCH("dev.azure.com", AA161)), IFERROR(VLOOKUP(INDEX('[1]Dettaglio pacchetti'!$AB$1:$AB$530, _xlfn.AGGREGATE(15, 6, (ROW($1:$345))/(ISNUMBER(SEARCH('[1]Dettaglio pacchetti'!$AB$1:$AB$530, $C161))), 1)) &amp; "*", '[1]Dettaglio pacchetti'!$A$1:$N$530, 1, FALSE) &amp; "", ""), "")</f>
        <v/>
      </c>
      <c r="AC161" t="str" cm="1">
        <f t="array" ref="AC161">IFERROR(
    VLOOKUP(
        INDEX('[1]Dettaglio pacchetti'!$AB$1:$AB$530, _xlfn.AGGREGATE(15,6,ROW($1:$345)/(ISNUMBER(SEARCH('[1]Dettaglio pacchetti'!$AB$1:$AB$530,$C161))),1)) &amp; "*",
        '[1]Dettaglio pacchetti'!$A$1:$I$530,
        7,
        FALSE
    ),
    IFERROR(VLOOKUP($C161, '[1]Dettaglio pacchetti'!$A$1:$I$530, 7, FALSE), "")
)</f>
        <v/>
      </c>
      <c r="AD161" t="str" cm="1">
        <f t="array" ref="AD161">IFERROR(
    VLOOKUP(
        INDEX('[1]Dettaglio pacchetti'!$AB$1:$AB$530, _xlfn.AGGREGATE(15,6,ROW($1:$345)/(ISNUMBER(SEARCH('[1]Dettaglio pacchetti'!$AB$1:$AB$530,$C161))),1)) &amp; "*",
        '[1]Dettaglio pacchetti'!$A$1:$I$530,
        6,
        FALSE
    ),
    IFERROR(VLOOKUP($C161, '[1]Dettaglio pacchetti'!$A$1:$I$530, 6, FALSE), "")
)</f>
        <v/>
      </c>
    </row>
    <row r="162" spans="27:30" x14ac:dyDescent="0.3">
      <c r="AA162" t="str" cm="1">
        <f t="array" ref="AA162">IFERROR(VLOOKUP(INDEX('[1]Dettaglio pacchetti'!$AB$1:$AB$530, _xlfn.AGGREGATE(15, 6, (ROW($1:$345))/(ISNUMBER(SEARCH('[1]Dettaglio pacchetti'!$AB$1:$AB$530, $C162))), 1)) &amp; "*", '[1]Dettaglio pacchetti'!$A$1:$N$530, 13, FALSE) &amp; "", "")</f>
        <v/>
      </c>
      <c r="AB162" t="str" cm="1">
        <f t="array" ref="AB162">IF(ISNUMBER(SEARCH("dev.azure.com", AA162)), IFERROR(VLOOKUP(INDEX('[1]Dettaglio pacchetti'!$AB$1:$AB$530, _xlfn.AGGREGATE(15, 6, (ROW($1:$345))/(ISNUMBER(SEARCH('[1]Dettaglio pacchetti'!$AB$1:$AB$530, $C162))), 1)) &amp; "*", '[1]Dettaglio pacchetti'!$A$1:$N$530, 1, FALSE) &amp; "", ""), "")</f>
        <v/>
      </c>
      <c r="AC162" t="str" cm="1">
        <f t="array" ref="AC162">IFERROR(
    VLOOKUP(
        INDEX('[1]Dettaglio pacchetti'!$AB$1:$AB$530, _xlfn.AGGREGATE(15,6,ROW($1:$345)/(ISNUMBER(SEARCH('[1]Dettaglio pacchetti'!$AB$1:$AB$530,$C162))),1)) &amp; "*",
        '[1]Dettaglio pacchetti'!$A$1:$I$530,
        7,
        FALSE
    ),
    IFERROR(VLOOKUP($C162, '[1]Dettaglio pacchetti'!$A$1:$I$530, 7, FALSE), "")
)</f>
        <v/>
      </c>
      <c r="AD162" t="str" cm="1">
        <f t="array" ref="AD162">IFERROR(
    VLOOKUP(
        INDEX('[1]Dettaglio pacchetti'!$AB$1:$AB$530, _xlfn.AGGREGATE(15,6,ROW($1:$345)/(ISNUMBER(SEARCH('[1]Dettaglio pacchetti'!$AB$1:$AB$530,$C162))),1)) &amp; "*",
        '[1]Dettaglio pacchetti'!$A$1:$I$530,
        6,
        FALSE
    ),
    IFERROR(VLOOKUP($C162, '[1]Dettaglio pacchetti'!$A$1:$I$530, 6, FALSE), "")
)</f>
        <v/>
      </c>
    </row>
    <row r="163" spans="27:30" x14ac:dyDescent="0.3">
      <c r="AA163" t="str" cm="1">
        <f t="array" ref="AA163">IFERROR(VLOOKUP(INDEX('[1]Dettaglio pacchetti'!$AB$1:$AB$530, _xlfn.AGGREGATE(15, 6, (ROW($1:$345))/(ISNUMBER(SEARCH('[1]Dettaglio pacchetti'!$AB$1:$AB$530, $C163))), 1)) &amp; "*", '[1]Dettaglio pacchetti'!$A$1:$N$530, 13, FALSE) &amp; "", "")</f>
        <v/>
      </c>
      <c r="AB163" t="str" cm="1">
        <f t="array" ref="AB163">IF(ISNUMBER(SEARCH("dev.azure.com", AA163)), IFERROR(VLOOKUP(INDEX('[1]Dettaglio pacchetti'!$AB$1:$AB$530, _xlfn.AGGREGATE(15, 6, (ROW($1:$345))/(ISNUMBER(SEARCH('[1]Dettaglio pacchetti'!$AB$1:$AB$530, $C163))), 1)) &amp; "*", '[1]Dettaglio pacchetti'!$A$1:$N$530, 1, FALSE) &amp; "", ""), "")</f>
        <v/>
      </c>
      <c r="AC163" t="str" cm="1">
        <f t="array" ref="AC163">IFERROR(
    VLOOKUP(
        INDEX('[1]Dettaglio pacchetti'!$AB$1:$AB$530, _xlfn.AGGREGATE(15,6,ROW($1:$345)/(ISNUMBER(SEARCH('[1]Dettaglio pacchetti'!$AB$1:$AB$530,$C163))),1)) &amp; "*",
        '[1]Dettaglio pacchetti'!$A$1:$I$530,
        7,
        FALSE
    ),
    IFERROR(VLOOKUP($C163, '[1]Dettaglio pacchetti'!$A$1:$I$530, 7, FALSE), "")
)</f>
        <v/>
      </c>
      <c r="AD163" t="str" cm="1">
        <f t="array" ref="AD163">IFERROR(
    VLOOKUP(
        INDEX('[1]Dettaglio pacchetti'!$AB$1:$AB$530, _xlfn.AGGREGATE(15,6,ROW($1:$345)/(ISNUMBER(SEARCH('[1]Dettaglio pacchetti'!$AB$1:$AB$530,$C163))),1)) &amp; "*",
        '[1]Dettaglio pacchetti'!$A$1:$I$530,
        6,
        FALSE
    ),
    IFERROR(VLOOKUP($C163, '[1]Dettaglio pacchetti'!$A$1:$I$530, 6, FALSE), "")
)</f>
        <v/>
      </c>
    </row>
    <row r="164" spans="27:30" x14ac:dyDescent="0.3">
      <c r="AA164" t="str" cm="1">
        <f t="array" ref="AA164">IFERROR(VLOOKUP(INDEX('[1]Dettaglio pacchetti'!$AB$1:$AB$530, _xlfn.AGGREGATE(15, 6, (ROW($1:$345))/(ISNUMBER(SEARCH('[1]Dettaglio pacchetti'!$AB$1:$AB$530, $C164))), 1)) &amp; "*", '[1]Dettaglio pacchetti'!$A$1:$N$530, 13, FALSE) &amp; "", "")</f>
        <v/>
      </c>
      <c r="AB164" t="str" cm="1">
        <f t="array" ref="AB164">IF(ISNUMBER(SEARCH("dev.azure.com", AA164)), IFERROR(VLOOKUP(INDEX('[1]Dettaglio pacchetti'!$AB$1:$AB$530, _xlfn.AGGREGATE(15, 6, (ROW($1:$345))/(ISNUMBER(SEARCH('[1]Dettaglio pacchetti'!$AB$1:$AB$530, $C164))), 1)) &amp; "*", '[1]Dettaglio pacchetti'!$A$1:$N$530, 1, FALSE) &amp; "", ""), "")</f>
        <v/>
      </c>
      <c r="AC164" t="str" cm="1">
        <f t="array" ref="AC164">IFERROR(
    VLOOKUP(
        INDEX('[1]Dettaglio pacchetti'!$AB$1:$AB$530, _xlfn.AGGREGATE(15,6,ROW($1:$345)/(ISNUMBER(SEARCH('[1]Dettaglio pacchetti'!$AB$1:$AB$530,$C164))),1)) &amp; "*",
        '[1]Dettaglio pacchetti'!$A$1:$I$530,
        7,
        FALSE
    ),
    IFERROR(VLOOKUP($C164, '[1]Dettaglio pacchetti'!$A$1:$I$530, 7, FALSE), "")
)</f>
        <v/>
      </c>
      <c r="AD164" t="str" cm="1">
        <f t="array" ref="AD164">IFERROR(
    VLOOKUP(
        INDEX('[1]Dettaglio pacchetti'!$AB$1:$AB$530, _xlfn.AGGREGATE(15,6,ROW($1:$345)/(ISNUMBER(SEARCH('[1]Dettaglio pacchetti'!$AB$1:$AB$530,$C164))),1)) &amp; "*",
        '[1]Dettaglio pacchetti'!$A$1:$I$530,
        6,
        FALSE
    ),
    IFERROR(VLOOKUP($C164, '[1]Dettaglio pacchetti'!$A$1:$I$530, 6, FALSE), "")
)</f>
        <v/>
      </c>
    </row>
    <row r="165" spans="27:30" x14ac:dyDescent="0.3">
      <c r="AA165" t="str" cm="1">
        <f t="array" ref="AA165">IFERROR(VLOOKUP(INDEX('[1]Dettaglio pacchetti'!$AB$1:$AB$530, _xlfn.AGGREGATE(15, 6, (ROW($1:$345))/(ISNUMBER(SEARCH('[1]Dettaglio pacchetti'!$AB$1:$AB$530, $C165))), 1)) &amp; "*", '[1]Dettaglio pacchetti'!$A$1:$N$530, 13, FALSE) &amp; "", "")</f>
        <v/>
      </c>
      <c r="AB165" t="str" cm="1">
        <f t="array" ref="AB165">IF(ISNUMBER(SEARCH("dev.azure.com", AA165)), IFERROR(VLOOKUP(INDEX('[1]Dettaglio pacchetti'!$AB$1:$AB$530, _xlfn.AGGREGATE(15, 6, (ROW($1:$345))/(ISNUMBER(SEARCH('[1]Dettaglio pacchetti'!$AB$1:$AB$530, $C165))), 1)) &amp; "*", '[1]Dettaglio pacchetti'!$A$1:$N$530, 1, FALSE) &amp; "", ""), "")</f>
        <v/>
      </c>
      <c r="AC165" t="str" cm="1">
        <f t="array" ref="AC165">IFERROR(
    VLOOKUP(
        INDEX('[1]Dettaglio pacchetti'!$AB$1:$AB$530, _xlfn.AGGREGATE(15,6,ROW($1:$345)/(ISNUMBER(SEARCH('[1]Dettaglio pacchetti'!$AB$1:$AB$530,$C165))),1)) &amp; "*",
        '[1]Dettaglio pacchetti'!$A$1:$I$530,
        7,
        FALSE
    ),
    IFERROR(VLOOKUP($C165, '[1]Dettaglio pacchetti'!$A$1:$I$530, 7, FALSE), "")
)</f>
        <v/>
      </c>
      <c r="AD165" t="str" cm="1">
        <f t="array" ref="AD165">IFERROR(
    VLOOKUP(
        INDEX('[1]Dettaglio pacchetti'!$AB$1:$AB$530, _xlfn.AGGREGATE(15,6,ROW($1:$345)/(ISNUMBER(SEARCH('[1]Dettaglio pacchetti'!$AB$1:$AB$530,$C165))),1)) &amp; "*",
        '[1]Dettaglio pacchetti'!$A$1:$I$530,
        6,
        FALSE
    ),
    IFERROR(VLOOKUP($C165, '[1]Dettaglio pacchetti'!$A$1:$I$530, 6, FALSE), "")
)</f>
        <v/>
      </c>
    </row>
    <row r="166" spans="27:30" x14ac:dyDescent="0.3">
      <c r="AA166" t="str" cm="1">
        <f t="array" ref="AA166">IFERROR(VLOOKUP(INDEX('[1]Dettaglio pacchetti'!$AB$1:$AB$530, _xlfn.AGGREGATE(15, 6, (ROW($1:$345))/(ISNUMBER(SEARCH('[1]Dettaglio pacchetti'!$AB$1:$AB$530, $C166))), 1)) &amp; "*", '[1]Dettaglio pacchetti'!$A$1:$N$530, 13, FALSE) &amp; "", "")</f>
        <v/>
      </c>
      <c r="AB166" t="str" cm="1">
        <f t="array" ref="AB166">IF(ISNUMBER(SEARCH("dev.azure.com", AA166)), IFERROR(VLOOKUP(INDEX('[1]Dettaglio pacchetti'!$AB$1:$AB$530, _xlfn.AGGREGATE(15, 6, (ROW($1:$345))/(ISNUMBER(SEARCH('[1]Dettaglio pacchetti'!$AB$1:$AB$530, $C166))), 1)) &amp; "*", '[1]Dettaglio pacchetti'!$A$1:$N$530, 1, FALSE) &amp; "", ""), "")</f>
        <v/>
      </c>
      <c r="AC166" t="str" cm="1">
        <f t="array" ref="AC166">IFERROR(
    VLOOKUP(
        INDEX('[1]Dettaglio pacchetti'!$AB$1:$AB$530, _xlfn.AGGREGATE(15,6,ROW($1:$345)/(ISNUMBER(SEARCH('[1]Dettaglio pacchetti'!$AB$1:$AB$530,$C166))),1)) &amp; "*",
        '[1]Dettaglio pacchetti'!$A$1:$I$530,
        7,
        FALSE
    ),
    IFERROR(VLOOKUP($C166, '[1]Dettaglio pacchetti'!$A$1:$I$530, 7, FALSE), "")
)</f>
        <v/>
      </c>
      <c r="AD166" t="str" cm="1">
        <f t="array" ref="AD166">IFERROR(
    VLOOKUP(
        INDEX('[1]Dettaglio pacchetti'!$AB$1:$AB$530, _xlfn.AGGREGATE(15,6,ROW($1:$345)/(ISNUMBER(SEARCH('[1]Dettaglio pacchetti'!$AB$1:$AB$530,$C166))),1)) &amp; "*",
        '[1]Dettaglio pacchetti'!$A$1:$I$530,
        6,
        FALSE
    ),
    IFERROR(VLOOKUP($C166, '[1]Dettaglio pacchetti'!$A$1:$I$530, 6, FALSE), "")
)</f>
        <v/>
      </c>
    </row>
    <row r="167" spans="27:30" x14ac:dyDescent="0.3">
      <c r="AA167" t="str" cm="1">
        <f t="array" ref="AA167">IFERROR(VLOOKUP(INDEX('[1]Dettaglio pacchetti'!$AB$1:$AB$530, _xlfn.AGGREGATE(15, 6, (ROW($1:$345))/(ISNUMBER(SEARCH('[1]Dettaglio pacchetti'!$AB$1:$AB$530, $C167))), 1)) &amp; "*", '[1]Dettaglio pacchetti'!$A$1:$N$530, 13, FALSE) &amp; "", "")</f>
        <v/>
      </c>
      <c r="AB167" t="str" cm="1">
        <f t="array" ref="AB167">IF(ISNUMBER(SEARCH("dev.azure.com", AA167)), IFERROR(VLOOKUP(INDEX('[1]Dettaglio pacchetti'!$AB$1:$AB$530, _xlfn.AGGREGATE(15, 6, (ROW($1:$345))/(ISNUMBER(SEARCH('[1]Dettaglio pacchetti'!$AB$1:$AB$530, $C167))), 1)) &amp; "*", '[1]Dettaglio pacchetti'!$A$1:$N$530, 1, FALSE) &amp; "", ""), "")</f>
        <v/>
      </c>
      <c r="AC167" t="str" cm="1">
        <f t="array" ref="AC167">IFERROR(
    VLOOKUP(
        INDEX('[1]Dettaglio pacchetti'!$AB$1:$AB$530, _xlfn.AGGREGATE(15,6,ROW($1:$345)/(ISNUMBER(SEARCH('[1]Dettaglio pacchetti'!$AB$1:$AB$530,$C167))),1)) &amp; "*",
        '[1]Dettaglio pacchetti'!$A$1:$I$530,
        7,
        FALSE
    ),
    IFERROR(VLOOKUP($C167, '[1]Dettaglio pacchetti'!$A$1:$I$530, 7, FALSE), "")
)</f>
        <v/>
      </c>
      <c r="AD167" t="str" cm="1">
        <f t="array" ref="AD167">IFERROR(
    VLOOKUP(
        INDEX('[1]Dettaglio pacchetti'!$AB$1:$AB$530, _xlfn.AGGREGATE(15,6,ROW($1:$345)/(ISNUMBER(SEARCH('[1]Dettaglio pacchetti'!$AB$1:$AB$530,$C167))),1)) &amp; "*",
        '[1]Dettaglio pacchetti'!$A$1:$I$530,
        6,
        FALSE
    ),
    IFERROR(VLOOKUP($C167, '[1]Dettaglio pacchetti'!$A$1:$I$530, 6, FALSE), "")
)</f>
        <v/>
      </c>
    </row>
    <row r="168" spans="27:30" x14ac:dyDescent="0.3">
      <c r="AA168" t="str" cm="1">
        <f t="array" ref="AA168">IFERROR(VLOOKUP(INDEX('[1]Dettaglio pacchetti'!$AB$1:$AB$530, _xlfn.AGGREGATE(15, 6, (ROW($1:$345))/(ISNUMBER(SEARCH('[1]Dettaglio pacchetti'!$AB$1:$AB$530, $C168))), 1)) &amp; "*", '[1]Dettaglio pacchetti'!$A$1:$N$530, 13, FALSE) &amp; "", "")</f>
        <v/>
      </c>
      <c r="AB168" t="str" cm="1">
        <f t="array" ref="AB168">IF(ISNUMBER(SEARCH("dev.azure.com", AA168)), IFERROR(VLOOKUP(INDEX('[1]Dettaglio pacchetti'!$AB$1:$AB$530, _xlfn.AGGREGATE(15, 6, (ROW($1:$345))/(ISNUMBER(SEARCH('[1]Dettaglio pacchetti'!$AB$1:$AB$530, $C168))), 1)) &amp; "*", '[1]Dettaglio pacchetti'!$A$1:$N$530, 1, FALSE) &amp; "", ""), "")</f>
        <v/>
      </c>
      <c r="AC168" t="str" cm="1">
        <f t="array" ref="AC168">IFERROR(
    VLOOKUP(
        INDEX('[1]Dettaglio pacchetti'!$AB$1:$AB$530, _xlfn.AGGREGATE(15,6,ROW($1:$345)/(ISNUMBER(SEARCH('[1]Dettaglio pacchetti'!$AB$1:$AB$530,$C168))),1)) &amp; "*",
        '[1]Dettaglio pacchetti'!$A$1:$I$530,
        7,
        FALSE
    ),
    IFERROR(VLOOKUP($C168, '[1]Dettaglio pacchetti'!$A$1:$I$530, 7, FALSE), "")
)</f>
        <v/>
      </c>
      <c r="AD168" t="str" cm="1">
        <f t="array" ref="AD168">IFERROR(
    VLOOKUP(
        INDEX('[1]Dettaglio pacchetti'!$AB$1:$AB$530, _xlfn.AGGREGATE(15,6,ROW($1:$345)/(ISNUMBER(SEARCH('[1]Dettaglio pacchetti'!$AB$1:$AB$530,$C168))),1)) &amp; "*",
        '[1]Dettaglio pacchetti'!$A$1:$I$530,
        6,
        FALSE
    ),
    IFERROR(VLOOKUP($C168, '[1]Dettaglio pacchetti'!$A$1:$I$530, 6, FALSE), "")
)</f>
        <v/>
      </c>
    </row>
    <row r="169" spans="27:30" x14ac:dyDescent="0.3">
      <c r="AA169" t="str" cm="1">
        <f t="array" ref="AA169">IFERROR(VLOOKUP(INDEX('[1]Dettaglio pacchetti'!$AB$1:$AB$530, _xlfn.AGGREGATE(15, 6, (ROW($1:$345))/(ISNUMBER(SEARCH('[1]Dettaglio pacchetti'!$AB$1:$AB$530, $C169))), 1)) &amp; "*", '[1]Dettaglio pacchetti'!$A$1:$N$530, 13, FALSE) &amp; "", "")</f>
        <v/>
      </c>
      <c r="AB169" t="str" cm="1">
        <f t="array" ref="AB169">IF(ISNUMBER(SEARCH("dev.azure.com", AA169)), IFERROR(VLOOKUP(INDEX('[1]Dettaglio pacchetti'!$AB$1:$AB$530, _xlfn.AGGREGATE(15, 6, (ROW($1:$345))/(ISNUMBER(SEARCH('[1]Dettaglio pacchetti'!$AB$1:$AB$530, $C169))), 1)) &amp; "*", '[1]Dettaglio pacchetti'!$A$1:$N$530, 1, FALSE) &amp; "", ""), "")</f>
        <v/>
      </c>
      <c r="AC169" t="str" cm="1">
        <f t="array" ref="AC169">IFERROR(
    VLOOKUP(
        INDEX('[1]Dettaglio pacchetti'!$AB$1:$AB$530, _xlfn.AGGREGATE(15,6,ROW($1:$345)/(ISNUMBER(SEARCH('[1]Dettaglio pacchetti'!$AB$1:$AB$530,$C169))),1)) &amp; "*",
        '[1]Dettaglio pacchetti'!$A$1:$I$530,
        7,
        FALSE
    ),
    IFERROR(VLOOKUP($C169, '[1]Dettaglio pacchetti'!$A$1:$I$530, 7, FALSE), "")
)</f>
        <v/>
      </c>
      <c r="AD169" t="str" cm="1">
        <f t="array" ref="AD169">IFERROR(
    VLOOKUP(
        INDEX('[1]Dettaglio pacchetti'!$AB$1:$AB$530, _xlfn.AGGREGATE(15,6,ROW($1:$345)/(ISNUMBER(SEARCH('[1]Dettaglio pacchetti'!$AB$1:$AB$530,$C169))),1)) &amp; "*",
        '[1]Dettaglio pacchetti'!$A$1:$I$530,
        6,
        FALSE
    ),
    IFERROR(VLOOKUP($C169, '[1]Dettaglio pacchetti'!$A$1:$I$530, 6, FALSE), "")
)</f>
        <v/>
      </c>
    </row>
    <row r="170" spans="27:30" x14ac:dyDescent="0.3">
      <c r="AA170" t="str" cm="1">
        <f t="array" ref="AA170">IFERROR(VLOOKUP(INDEX('[1]Dettaglio pacchetti'!$AB$1:$AB$530, _xlfn.AGGREGATE(15, 6, (ROW($1:$345))/(ISNUMBER(SEARCH('[1]Dettaglio pacchetti'!$AB$1:$AB$530, $C170))), 1)) &amp; "*", '[1]Dettaglio pacchetti'!$A$1:$N$530, 13, FALSE) &amp; "", "")</f>
        <v/>
      </c>
      <c r="AB170" t="str" cm="1">
        <f t="array" ref="AB170">IF(ISNUMBER(SEARCH("dev.azure.com", AA170)), IFERROR(VLOOKUP(INDEX('[1]Dettaglio pacchetti'!$AB$1:$AB$530, _xlfn.AGGREGATE(15, 6, (ROW($1:$345))/(ISNUMBER(SEARCH('[1]Dettaglio pacchetti'!$AB$1:$AB$530, $C170))), 1)) &amp; "*", '[1]Dettaglio pacchetti'!$A$1:$N$530, 1, FALSE) &amp; "", ""), "")</f>
        <v/>
      </c>
      <c r="AC170" t="str" cm="1">
        <f t="array" ref="AC170">IFERROR(
    VLOOKUP(
        INDEX('[1]Dettaglio pacchetti'!$AB$1:$AB$530, _xlfn.AGGREGATE(15,6,ROW($1:$345)/(ISNUMBER(SEARCH('[1]Dettaglio pacchetti'!$AB$1:$AB$530,$C170))),1)) &amp; "*",
        '[1]Dettaglio pacchetti'!$A$1:$I$530,
        7,
        FALSE
    ),
    IFERROR(VLOOKUP($C170, '[1]Dettaglio pacchetti'!$A$1:$I$530, 7, FALSE), "")
)</f>
        <v/>
      </c>
      <c r="AD170" t="str" cm="1">
        <f t="array" ref="AD170">IFERROR(
    VLOOKUP(
        INDEX('[1]Dettaglio pacchetti'!$AB$1:$AB$530, _xlfn.AGGREGATE(15,6,ROW($1:$345)/(ISNUMBER(SEARCH('[1]Dettaglio pacchetti'!$AB$1:$AB$530,$C170))),1)) &amp; "*",
        '[1]Dettaglio pacchetti'!$A$1:$I$530,
        6,
        FALSE
    ),
    IFERROR(VLOOKUP($C170, '[1]Dettaglio pacchetti'!$A$1:$I$530, 6, FALSE), "")
)</f>
        <v/>
      </c>
    </row>
    <row r="171" spans="27:30" x14ac:dyDescent="0.3">
      <c r="AA171" t="str" cm="1">
        <f t="array" ref="AA171">IFERROR(VLOOKUP(INDEX('[1]Dettaglio pacchetti'!$AB$1:$AB$530, _xlfn.AGGREGATE(15, 6, (ROW($1:$345))/(ISNUMBER(SEARCH('[1]Dettaglio pacchetti'!$AB$1:$AB$530, $C171))), 1)) &amp; "*", '[1]Dettaglio pacchetti'!$A$1:$N$530, 13, FALSE) &amp; "", "")</f>
        <v/>
      </c>
      <c r="AB171" t="str" cm="1">
        <f t="array" ref="AB171">IF(ISNUMBER(SEARCH("dev.azure.com", AA171)), IFERROR(VLOOKUP(INDEX('[1]Dettaglio pacchetti'!$AB$1:$AB$530, _xlfn.AGGREGATE(15, 6, (ROW($1:$345))/(ISNUMBER(SEARCH('[1]Dettaglio pacchetti'!$AB$1:$AB$530, $C171))), 1)) &amp; "*", '[1]Dettaglio pacchetti'!$A$1:$N$530, 1, FALSE) &amp; "", ""), "")</f>
        <v/>
      </c>
      <c r="AC171" t="str" cm="1">
        <f t="array" ref="AC171">IFERROR(
    VLOOKUP(
        INDEX('[1]Dettaglio pacchetti'!$AB$1:$AB$530, _xlfn.AGGREGATE(15,6,ROW($1:$345)/(ISNUMBER(SEARCH('[1]Dettaglio pacchetti'!$AB$1:$AB$530,$C171))),1)) &amp; "*",
        '[1]Dettaglio pacchetti'!$A$1:$I$530,
        7,
        FALSE
    ),
    IFERROR(VLOOKUP($C171, '[1]Dettaglio pacchetti'!$A$1:$I$530, 7, FALSE), "")
)</f>
        <v/>
      </c>
      <c r="AD171" t="str" cm="1">
        <f t="array" ref="AD171">IFERROR(
    VLOOKUP(
        INDEX('[1]Dettaglio pacchetti'!$AB$1:$AB$530, _xlfn.AGGREGATE(15,6,ROW($1:$345)/(ISNUMBER(SEARCH('[1]Dettaglio pacchetti'!$AB$1:$AB$530,$C171))),1)) &amp; "*",
        '[1]Dettaglio pacchetti'!$A$1:$I$530,
        6,
        FALSE
    ),
    IFERROR(VLOOKUP($C171, '[1]Dettaglio pacchetti'!$A$1:$I$530, 6, FALSE), "")
)</f>
        <v/>
      </c>
    </row>
    <row r="172" spans="27:30" x14ac:dyDescent="0.3">
      <c r="AA172" t="str" cm="1">
        <f t="array" ref="AA172">IFERROR(VLOOKUP(INDEX('[1]Dettaglio pacchetti'!$AB$1:$AB$530, _xlfn.AGGREGATE(15, 6, (ROW($1:$345))/(ISNUMBER(SEARCH('[1]Dettaglio pacchetti'!$AB$1:$AB$530, $C172))), 1)) &amp; "*", '[1]Dettaglio pacchetti'!$A$1:$N$530, 13, FALSE) &amp; "", "")</f>
        <v/>
      </c>
      <c r="AB172" t="str" cm="1">
        <f t="array" ref="AB172">IF(ISNUMBER(SEARCH("dev.azure.com", AA172)), IFERROR(VLOOKUP(INDEX('[1]Dettaglio pacchetti'!$AB$1:$AB$530, _xlfn.AGGREGATE(15, 6, (ROW($1:$345))/(ISNUMBER(SEARCH('[1]Dettaglio pacchetti'!$AB$1:$AB$530, $C172))), 1)) &amp; "*", '[1]Dettaglio pacchetti'!$A$1:$N$530, 1, FALSE) &amp; "", ""), "")</f>
        <v/>
      </c>
      <c r="AC172" t="str" cm="1">
        <f t="array" ref="AC172">IFERROR(
    VLOOKUP(
        INDEX('[1]Dettaglio pacchetti'!$AB$1:$AB$530, _xlfn.AGGREGATE(15,6,ROW($1:$345)/(ISNUMBER(SEARCH('[1]Dettaglio pacchetti'!$AB$1:$AB$530,$C172))),1)) &amp; "*",
        '[1]Dettaglio pacchetti'!$A$1:$I$530,
        7,
        FALSE
    ),
    IFERROR(VLOOKUP($C172, '[1]Dettaglio pacchetti'!$A$1:$I$530, 7, FALSE), "")
)</f>
        <v/>
      </c>
      <c r="AD172" t="str" cm="1">
        <f t="array" ref="AD172">IFERROR(
    VLOOKUP(
        INDEX('[1]Dettaglio pacchetti'!$AB$1:$AB$530, _xlfn.AGGREGATE(15,6,ROW($1:$345)/(ISNUMBER(SEARCH('[1]Dettaglio pacchetti'!$AB$1:$AB$530,$C172))),1)) &amp; "*",
        '[1]Dettaglio pacchetti'!$A$1:$I$530,
        6,
        FALSE
    ),
    IFERROR(VLOOKUP($C172, '[1]Dettaglio pacchetti'!$A$1:$I$530, 6, FALSE), "")
)</f>
        <v/>
      </c>
    </row>
  </sheetData>
  <autoFilter ref="C2:P157" xr:uid="{00000000-0001-0000-0000-000000000000}">
    <filterColumn colId="5">
      <filters>
        <filter val="Azure Devops"/>
      </filters>
    </filterColumn>
  </autoFilter>
  <mergeCells count="1">
    <mergeCell ref="A1:L1"/>
  </mergeCells>
  <phoneticPr fontId="7" type="noConversion"/>
  <conditionalFormatting sqref="C1:C2 C98:C157 C159:C1048576">
    <cfRule type="notContainsBlanks" dxfId="98" priority="449">
      <formula>LEN(TRIM(C1))&gt;0</formula>
    </cfRule>
    <cfRule type="notContainsErrors" dxfId="97" priority="498">
      <formula>NOT(ISERROR(C1))</formula>
    </cfRule>
  </conditionalFormatting>
  <conditionalFormatting sqref="I3:J157">
    <cfRule type="notContainsBlanks" dxfId="96" priority="2">
      <formula>LEN(TRIM(I3))&gt;0</formula>
    </cfRule>
  </conditionalFormatting>
  <conditionalFormatting sqref="I1:K1048576">
    <cfRule type="notContainsBlanks" dxfId="95" priority="496">
      <formula>LEN(TRIM(I1))&gt;0</formula>
    </cfRule>
  </conditionalFormatting>
  <conditionalFormatting sqref="J1">
    <cfRule type="notContainsBlanks" dxfId="94" priority="448">
      <formula>LEN(TRIM(J1))&gt;0</formula>
    </cfRule>
  </conditionalFormatting>
  <conditionalFormatting sqref="J158:J1048576">
    <cfRule type="notContainsBlanks" dxfId="93" priority="578">
      <formula>LEN(TRIM(J158))&gt;0</formula>
    </cfRule>
  </conditionalFormatting>
  <conditionalFormatting sqref="J1:K1 K2 J3:K1048576">
    <cfRule type="containsBlanks" dxfId="92" priority="495">
      <formula>LEN(TRIM(J1))=0</formula>
    </cfRule>
  </conditionalFormatting>
  <conditionalFormatting sqref="K2">
    <cfRule type="containsText" dxfId="91" priority="511" operator="containsText" text="it.">
      <formula>NOT(ISERROR(SEARCH("it.",K2)))</formula>
    </cfRule>
  </conditionalFormatting>
  <conditionalFormatting sqref="O2:O28 P3:P49 O12:P21 O29:P155">
    <cfRule type="containsText" dxfId="90" priority="670" operator="containsText" text="KO">
      <formula>NOT(ISERROR(SEARCH("KO",O2)))</formula>
    </cfRule>
    <cfRule type="containsText" dxfId="89" priority="669" operator="containsText" text="in corso">
      <formula>NOT(ISERROR(SEARCH("in corso",O2)))</formula>
    </cfRule>
    <cfRule type="containsText" dxfId="88" priority="668" operator="containsText" text="annullato">
      <formula>NOT(ISERROR(SEARCH("annullato",O2)))</formula>
    </cfRule>
    <cfRule type="containsText" dxfId="87" priority="671" operator="containsText" text="OK">
      <formula>NOT(ISERROR(SEARCH("OK",O2)))</formula>
    </cfRule>
  </conditionalFormatting>
  <conditionalFormatting sqref="O3:P21 P3:P49 O29:P155 O22:O28">
    <cfRule type="containsText" dxfId="86" priority="591" operator="containsText" text="OK">
      <formula>NOT(ISERROR(SEARCH("OK",O3)))</formula>
    </cfRule>
    <cfRule type="containsText" dxfId="85" priority="522" operator="containsText" text="KO">
      <formula>NOT(ISERROR(SEARCH("KO",O3)))</formula>
    </cfRule>
  </conditionalFormatting>
  <conditionalFormatting sqref="O157:P157">
    <cfRule type="containsText" dxfId="84" priority="24" operator="containsText" text="OK">
      <formula>NOT(ISERROR(SEARCH("OK",O157)))</formula>
    </cfRule>
    <cfRule type="containsText" dxfId="83" priority="26" operator="containsText" text="in corso">
      <formula>NOT(ISERROR(SEARCH("in corso",O157)))</formula>
    </cfRule>
    <cfRule type="containsText" dxfId="82" priority="27" operator="containsText" text="KO">
      <formula>NOT(ISERROR(SEARCH("KO",O157)))</formula>
    </cfRule>
    <cfRule type="containsText" dxfId="81" priority="25" operator="containsText" text="annullato">
      <formula>NOT(ISERROR(SEARCH("annullato",O157)))</formula>
    </cfRule>
    <cfRule type="containsText" dxfId="80" priority="28" operator="containsText" text="OK">
      <formula>NOT(ISERROR(SEARCH("OK",O157)))</formula>
    </cfRule>
    <cfRule type="containsText" dxfId="79" priority="19" operator="containsText" text="KO">
      <formula>NOT(ISERROR(SEARCH("KO",O157)))</formula>
    </cfRule>
  </conditionalFormatting>
  <conditionalFormatting sqref="P3:P155">
    <cfRule type="containsText" dxfId="78" priority="519" operator="containsText" text="KO">
      <formula>NOT(ISERROR(SEARCH("KO",P3)))</formula>
    </cfRule>
    <cfRule type="containsText" dxfId="77" priority="520" operator="containsText" text="annullato">
      <formula>NOT(ISERROR(SEARCH("annullato",P3)))</formula>
    </cfRule>
    <cfRule type="containsText" dxfId="76" priority="521" operator="containsText" text="in corso">
      <formula>NOT(ISERROR(SEARCH("in corso",P3)))</formula>
    </cfRule>
    <cfRule type="containsText" dxfId="75" priority="523" operator="containsText" text="OK">
      <formula>NOT(ISERROR(SEARCH("OK",P3)))</formula>
    </cfRule>
    <cfRule type="containsText" dxfId="74" priority="589" operator="containsText" text="in corso">
      <formula>NOT(ISERROR(SEARCH("in corso",P3)))</formula>
    </cfRule>
    <cfRule type="containsText" dxfId="73" priority="590" operator="containsText" text="KO">
      <formula>NOT(ISERROR(SEARCH("KO",P3)))</formula>
    </cfRule>
    <cfRule type="containsText" dxfId="72" priority="588" operator="containsText" text="annullato">
      <formula>NOT(ISERROR(SEARCH("annullato",P3)))</formula>
    </cfRule>
    <cfRule type="containsText" dxfId="71" priority="214" operator="containsText" text="annullato">
      <formula>NOT(ISERROR(SEARCH("annullato",P3)))</formula>
    </cfRule>
    <cfRule type="containsText" dxfId="70" priority="215" operator="containsText" text="in corso">
      <formula>NOT(ISERROR(SEARCH("in corso",P3)))</formula>
    </cfRule>
    <cfRule type="containsText" dxfId="69" priority="216" operator="containsText" text="KO">
      <formula>NOT(ISERROR(SEARCH("KO",P3)))</formula>
    </cfRule>
    <cfRule type="containsText" dxfId="68" priority="517" operator="containsText" text="OK">
      <formula>NOT(ISERROR(SEARCH("OK",P3)))</formula>
    </cfRule>
    <cfRule type="containsText" dxfId="67" priority="218" operator="containsText" text="annullato">
      <formula>NOT(ISERROR(SEARCH("annullato",P3)))</formula>
    </cfRule>
    <cfRule type="containsText" dxfId="66" priority="219" operator="containsText" text="in corso">
      <formula>NOT(ISERROR(SEARCH("in corso",P3)))</formula>
    </cfRule>
    <cfRule type="containsText" dxfId="65" priority="220" operator="containsText" text="KO">
      <formula>NOT(ISERROR(SEARCH("KO",P3)))</formula>
    </cfRule>
    <cfRule type="containsText" dxfId="64" priority="221" operator="containsText" text="OK">
      <formula>NOT(ISERROR(SEARCH("OK",P3)))</formula>
    </cfRule>
    <cfRule type="containsText" dxfId="63" priority="217" operator="containsText" text="OK">
      <formula>NOT(ISERROR(SEARCH("OK",P3)))</formula>
    </cfRule>
    <cfRule type="containsText" dxfId="62" priority="513" operator="containsText" text="KO">
      <formula>NOT(ISERROR(SEARCH("KO",P3)))</formula>
    </cfRule>
    <cfRule type="containsText" dxfId="61" priority="514" operator="containsText" text="annullato">
      <formula>NOT(ISERROR(SEARCH("annullato",P3)))</formula>
    </cfRule>
    <cfRule type="containsText" dxfId="60" priority="515" operator="containsText" text="in corso">
      <formula>NOT(ISERROR(SEARCH("in corso",P3)))</formula>
    </cfRule>
    <cfRule type="containsText" dxfId="59" priority="516" operator="containsText" text="KO">
      <formula>NOT(ISERROR(SEARCH("KO",P3)))</formula>
    </cfRule>
  </conditionalFormatting>
  <conditionalFormatting sqref="P157">
    <cfRule type="containsText" dxfId="58" priority="3" operator="containsText" text="annullato">
      <formula>NOT(ISERROR(SEARCH("annullato",P157)))</formula>
    </cfRule>
    <cfRule type="containsText" dxfId="57" priority="4" operator="containsText" text="in corso">
      <formula>NOT(ISERROR(SEARCH("in corso",P157)))</formula>
    </cfRule>
    <cfRule type="containsText" dxfId="56" priority="5" operator="containsText" text="KO">
      <formula>NOT(ISERROR(SEARCH("KO",P157)))</formula>
    </cfRule>
    <cfRule type="containsText" dxfId="55" priority="6" operator="containsText" text="OK">
      <formula>NOT(ISERROR(SEARCH("OK",P157)))</formula>
    </cfRule>
    <cfRule type="containsText" dxfId="54" priority="7" operator="containsText" text="annullato">
      <formula>NOT(ISERROR(SEARCH("annullato",P157)))</formula>
    </cfRule>
    <cfRule type="containsText" dxfId="53" priority="8" operator="containsText" text="in corso">
      <formula>NOT(ISERROR(SEARCH("in corso",P157)))</formula>
    </cfRule>
    <cfRule type="containsText" dxfId="52" priority="10" operator="containsText" text="OK">
      <formula>NOT(ISERROR(SEARCH("OK",P157)))</formula>
    </cfRule>
    <cfRule type="containsText" dxfId="51" priority="22" operator="containsText" text="in corso">
      <formula>NOT(ISERROR(SEARCH("in corso",P157)))</formula>
    </cfRule>
    <cfRule type="containsText" dxfId="50" priority="23" operator="containsText" text="KO">
      <formula>NOT(ISERROR(SEARCH("KO",P157)))</formula>
    </cfRule>
    <cfRule type="containsText" dxfId="49" priority="16" operator="containsText" text="KO">
      <formula>NOT(ISERROR(SEARCH("KO",P157)))</formula>
    </cfRule>
    <cfRule type="containsText" dxfId="48" priority="21" operator="containsText" text="annullato">
      <formula>NOT(ISERROR(SEARCH("annullato",P157)))</formula>
    </cfRule>
    <cfRule type="containsText" dxfId="47" priority="15" operator="containsText" text="OK">
      <formula>NOT(ISERROR(SEARCH("OK",P157)))</formula>
    </cfRule>
    <cfRule type="containsText" dxfId="46" priority="9" operator="containsText" text="KO">
      <formula>NOT(ISERROR(SEARCH("KO",P157)))</formula>
    </cfRule>
    <cfRule type="containsText" dxfId="45" priority="20" operator="containsText" text="OK">
      <formula>NOT(ISERROR(SEARCH("OK",P157)))</formula>
    </cfRule>
    <cfRule type="containsText" dxfId="44" priority="17" operator="containsText" text="annullato">
      <formula>NOT(ISERROR(SEARCH("annullato",P157)))</formula>
    </cfRule>
    <cfRule type="containsText" dxfId="43" priority="14" operator="containsText" text="KO">
      <formula>NOT(ISERROR(SEARCH("KO",P157)))</formula>
    </cfRule>
    <cfRule type="containsText" dxfId="42" priority="13" operator="containsText" text="in corso">
      <formula>NOT(ISERROR(SEARCH("in corso",P157)))</formula>
    </cfRule>
    <cfRule type="containsText" dxfId="41" priority="12" operator="containsText" text="annullato">
      <formula>NOT(ISERROR(SEARCH("annullato",P157)))</formula>
    </cfRule>
    <cfRule type="containsText" dxfId="40" priority="11" operator="containsText" text="KO">
      <formula>NOT(ISERROR(SEARCH("KO",P157)))</formula>
    </cfRule>
    <cfRule type="containsText" dxfId="39" priority="18" operator="containsText" text="in corso">
      <formula>NOT(ISERROR(SEARCH("in corso",P157)))</formula>
    </cfRule>
  </conditionalFormatting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BD4D1CC-AC71-4D11-BB6D-93D47D773D68}">
          <x14:formula1>
            <xm:f>Elenco_SR!$P$3:$P$6</xm:f>
          </x14:formula1>
          <xm:sqref>O157:P157 O3:P155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3B2EA-10F5-4552-B856-7BB01DA96C6E}">
  <sheetPr>
    <tabColor rgb="FF7030A0"/>
  </sheetPr>
  <dimension ref="A1:P63"/>
  <sheetViews>
    <sheetView workbookViewId="0">
      <selection activeCell="H4" sqref="H4:H8"/>
    </sheetView>
  </sheetViews>
  <sheetFormatPr defaultRowHeight="14.4" x14ac:dyDescent="0.3"/>
  <cols>
    <col min="1" max="1" width="19.21875" style="5" customWidth="1"/>
    <col min="2" max="2" width="31.21875" style="5" customWidth="1"/>
    <col min="3" max="3" width="24.21875" style="5" customWidth="1"/>
    <col min="4" max="4" width="25.21875" style="5" customWidth="1"/>
    <col min="5" max="5" width="31.5546875" style="5" customWidth="1"/>
    <col min="6" max="6" width="25.77734375" style="5" customWidth="1"/>
    <col min="7" max="7" width="28.77734375" style="5" customWidth="1"/>
    <col min="8" max="8" width="21.21875" style="5" customWidth="1"/>
    <col min="9" max="9" width="19.77734375" style="5" customWidth="1"/>
    <col min="10" max="10" width="17.77734375" style="5" customWidth="1"/>
    <col min="11" max="11" width="21" style="5" customWidth="1"/>
    <col min="15" max="15" width="30.77734375" customWidth="1"/>
    <col min="16" max="16" width="20.21875" customWidth="1"/>
  </cols>
  <sheetData>
    <row r="1" spans="1:16" ht="54" customHeight="1" x14ac:dyDescent="0.3">
      <c r="A1" s="68" t="s">
        <v>18</v>
      </c>
      <c r="B1" s="68"/>
      <c r="C1" s="68"/>
      <c r="D1" s="68"/>
      <c r="E1" s="68"/>
      <c r="F1" s="68"/>
      <c r="G1" s="68"/>
      <c r="H1" s="68"/>
      <c r="I1" s="68"/>
      <c r="J1" s="68"/>
      <c r="K1" s="68"/>
    </row>
    <row r="2" spans="1:16" ht="52.5" customHeight="1" x14ac:dyDescent="0.3">
      <c r="A2" s="1" t="s">
        <v>2</v>
      </c>
      <c r="B2" s="2" t="s">
        <v>19</v>
      </c>
      <c r="C2" s="2" t="s">
        <v>4</v>
      </c>
      <c r="D2" s="2" t="s">
        <v>20</v>
      </c>
      <c r="E2" s="2" t="s">
        <v>6</v>
      </c>
      <c r="F2" s="2" t="s">
        <v>7</v>
      </c>
      <c r="G2" s="2" t="s">
        <v>8</v>
      </c>
      <c r="H2" s="2" t="s">
        <v>21</v>
      </c>
      <c r="I2" s="3" t="s">
        <v>11</v>
      </c>
      <c r="J2" s="2" t="s">
        <v>13</v>
      </c>
      <c r="K2" s="2" t="s">
        <v>14</v>
      </c>
      <c r="O2" s="9" t="s">
        <v>2</v>
      </c>
      <c r="P2" s="11" t="s">
        <v>22</v>
      </c>
    </row>
    <row r="3" spans="1:16" x14ac:dyDescent="0.3">
      <c r="A3" s="18" t="s">
        <v>36</v>
      </c>
      <c r="B3" s="50" t="str">
        <f>IFERROR(VLOOKUP($A3, '[2]Dettaglio SR'!$A$1:$L$501, 2, FALSE), "")</f>
        <v>Service Request</v>
      </c>
      <c r="C3" s="50" t="str" cm="1">
        <f t="array" ref="C3">IFERROR(
    _xlfn.XLOOKUP(TRIM(UPPER(F3)),
        TRIM(UPPER(Applicazioni!$C$1:$C$474)),
        Applicazioni!$B$1:$B$474
    ),
    IFERROR(
        _xlfn.XLOOKUP(
            TRIM(UPPER(
                INDEX(
                    _xlfn._xlws.FILTER('[2]Dettaglio SR'!$C$1:$C$501,
                        TRIM(UPPER('[2]Dettaglio SR'!$F$1:$F$501))=TRIM(UPPER(F3)),
                        ""
                    ),
                1)
            )),
            TRIM(UPPER(Applicazioni!$C$1:$C$474)),
            Applicazioni!$B$1:$B$474
        ),
        ""
    )
)</f>
        <v>C20260821_0028</v>
      </c>
      <c r="D3" s="50" t="str">
        <f>IFERROR(
    VLOOKUP(
        $A3,
        '[2]Dettaglio SR'!$A$1:$L$501,
        COLUMN(D2),
        FALSE
    ),
    ""
)</f>
        <v>Treno Danni</v>
      </c>
      <c r="E3" s="50" t="str">
        <f>IFERROR(
    VLOOKUP(
        $A3,
        '[2]Dettaglio SR'!$A$1:$L$501,
        COLUMN(E2),
        FALSE
    ),
    ""
)</f>
        <v>Attività Grandine windows</v>
      </c>
      <c r="F3" s="50" t="str">
        <f>IFERROR(
    VLOOKUP(
        $A3,
        '[2]Dettaglio SR'!$A$1:$L$501,
        COLUMN(F2),
        FALSE
    ),
    ""
)</f>
        <v>OmniaInsurance</v>
      </c>
      <c r="G3" s="50" t="str">
        <f>IFERROR(
    VLOOKUP(
        $A3,
        '[2]Dettaglio SR'!$A$1:$L$501,
        COLUMN(G2),
        FALSE
    ),
    ""
)</f>
        <v>Manual by HD2-SYSTEM</v>
      </c>
      <c r="H3" s="7" t="s">
        <v>194</v>
      </c>
      <c r="I3" s="5" t="str">
        <f>IFERROR(
    VLOOKUP(
        $A3,
        '[2]Dettaglio SR'!$A$1:$L$501,
        COLUMN(K2),
        FALSE
    ),
    ""
)</f>
        <v>Windows</v>
      </c>
      <c r="J3" s="6"/>
      <c r="K3" s="6"/>
      <c r="O3" s="12" t="s">
        <v>24</v>
      </c>
      <c r="P3" t="s">
        <v>15</v>
      </c>
    </row>
    <row r="4" spans="1:16" x14ac:dyDescent="0.3">
      <c r="A4" s="18" t="s">
        <v>38</v>
      </c>
      <c r="B4" s="50" t="str">
        <f>IFERROR(VLOOKUP($A4, '[2]Dettaglio SR'!$A$1:$L$501, 2, FALSE), "")</f>
        <v>Service Request</v>
      </c>
      <c r="C4" s="50" t="str" cm="1">
        <f t="array" ref="C4">IFERROR(
    _xlfn.XLOOKUP(TRIM(UPPER(F4)),
        TRIM(UPPER(Applicazioni!$C$1:$C$474)),
        Applicazioni!$B$1:$B$474
    ),
    IFERROR(
        _xlfn.XLOOKUP(
            TRIM(UPPER(
                INDEX(
                    _xlfn._xlws.FILTER('[2]Dettaglio SR'!$C$1:$C$501,
                        TRIM(UPPER('[2]Dettaglio SR'!$F$1:$F$501))=TRIM(UPPER(F4)),
                        ""
                    ),
                1)
            )),
            TRIM(UPPER(Applicazioni!$C$1:$C$474)),
            Applicazioni!$B$1:$B$474
        ),
        ""
    )
)</f>
        <v>C20260821_0028</v>
      </c>
      <c r="D4" s="50" t="str">
        <f>IFERROR(
    VLOOKUP(
        $A4,
        '[2]Dettaglio SR'!$A$1:$L$501,
        COLUMN(D3),
        FALSE
    ),
    ""
)</f>
        <v>Treno Danni</v>
      </c>
      <c r="E4" s="50" t="str">
        <f>IFERROR(
    VLOOKUP(
        $A4,
        '[2]Dettaglio SR'!$A$1:$L$501,
        COLUMN(E3),
        FALSE
    ),
    ""
)</f>
        <v>Script GNR01A</v>
      </c>
      <c r="F4" s="50" t="str">
        <f>IFERROR(
    VLOOKUP(
        $A4,
        '[2]Dettaglio SR'!$A$1:$L$501,
        COLUMN(F3),
        FALSE
    ),
    ""
)</f>
        <v>OmniaInsurance</v>
      </c>
      <c r="G4" s="50" t="str">
        <f>IFERROR(
    VLOOKUP(
        $A4,
        '[2]Dettaglio SR'!$A$1:$L$501,
        COLUMN(G3),
        FALSE
    ),
    ""
)</f>
        <v>Scheduled by DBA</v>
      </c>
      <c r="H4" s="7" t="s">
        <v>203</v>
      </c>
      <c r="I4" s="5" t="str">
        <f>IFERROR(
    VLOOKUP(
        $A4,
        '[2]Dettaglio SR'!$A$1:$L$501,
        COLUMN(K3),
        FALSE
    ),
    ""
)</f>
        <v>Sql</v>
      </c>
      <c r="J4" s="6"/>
      <c r="K4" s="6"/>
      <c r="O4" s="12" t="s">
        <v>26</v>
      </c>
      <c r="P4" t="s">
        <v>27</v>
      </c>
    </row>
    <row r="5" spans="1:16" x14ac:dyDescent="0.3">
      <c r="A5" s="18" t="s">
        <v>25</v>
      </c>
      <c r="B5" s="50" t="str">
        <f>IFERROR(VLOOKUP($A5, '[2]Dettaglio SR'!$A$1:$L$501, 2, FALSE), "")</f>
        <v>Ese -Service Request</v>
      </c>
      <c r="C5" s="50" t="str" cm="1">
        <f t="array" ref="C5">IFERROR(
    _xlfn.XLOOKUP(TRIM(UPPER(F5)),
        TRIM(UPPER(Applicazioni!$C$1:$C$474)),
        Applicazioni!$B$1:$B$474
    ),
    IFERROR(
        _xlfn.XLOOKUP(
            TRIM(UPPER(
                INDEX(
                    _xlfn._xlws.FILTER('[2]Dettaglio SR'!$C$1:$C$501,
                        TRIM(UPPER('[2]Dettaglio SR'!$F$1:$F$501))=TRIM(UPPER(F5)),
                        ""
                    ),
                1)
            )),
            TRIM(UPPER(Applicazioni!$C$1:$C$474)),
            Applicazioni!$B$1:$B$474
        ),
        ""
    )
)</f>
        <v>C20260821_0043</v>
      </c>
      <c r="D5" s="50" t="str">
        <f>IFERROR(
    VLOOKUP(
        $A5,
        '[2]Dettaglio SR'!$A$1:$L$501,
        COLUMN(D4),
        FALSE
    ),
    ""
)</f>
        <v>Treno Danni</v>
      </c>
      <c r="E5" s="50" t="str">
        <f>IFERROR(
    VLOOKUP(
        $A5,
        '[2]Dettaglio SR'!$A$1:$L$501,
        COLUMN(E4),
        FALSE
    ),
    ""
)</f>
        <v>Ribaltamento Pass Prodotti/Doc AUTO</v>
      </c>
      <c r="F5" s="50" t="str">
        <f>IFERROR(
    VLOOKUP(
        $A5,
        '[2]Dettaglio SR'!$A$1:$L$501,
        COLUMN(F4),
        FALSE
    ),
    ""
)</f>
        <v>Pass Auto</v>
      </c>
      <c r="G5" s="50" t="str">
        <f>IFERROR(
    VLOOKUP(
        $A5,
        '[2]Dettaglio SR'!$A$1:$L$501,
        COLUMN(G4),
        FALSE
    ),
    ""
)</f>
        <v>Scheduled by DBA</v>
      </c>
      <c r="H5" s="7" t="s">
        <v>204</v>
      </c>
      <c r="I5" s="5" t="str">
        <f>IFERROR(
    VLOOKUP(
        $A5,
        '[2]Dettaglio SR'!$A$1:$L$501,
        COLUMN(K4),
        FALSE
    ),
    ""
)</f>
        <v>Oracle</v>
      </c>
      <c r="J5" s="6"/>
      <c r="K5" s="6"/>
      <c r="O5" s="12" t="s">
        <v>25</v>
      </c>
      <c r="P5" t="s">
        <v>17</v>
      </c>
    </row>
    <row r="6" spans="1:16" x14ac:dyDescent="0.3">
      <c r="A6" s="12" t="s">
        <v>28</v>
      </c>
      <c r="B6" s="50" t="str">
        <f>IFERROR(VLOOKUP($A6, '[2]Dettaglio SR'!$A$1:$L$501, 2, FALSE), "")</f>
        <v>Ese -Service Request</v>
      </c>
      <c r="C6" s="50" t="str" cm="1">
        <f t="array" ref="C6">IFERROR(
    _xlfn.XLOOKUP(TRIM(UPPER(F6)),
        TRIM(UPPER(Applicazioni!$C$1:$C$474)),
        Applicazioni!$B$1:$B$474
    ),
    IFERROR(
        _xlfn.XLOOKUP(
            TRIM(UPPER(
                INDEX(
                    _xlfn._xlws.FILTER('[2]Dettaglio SR'!$C$1:$C$501,
                        TRIM(UPPER('[2]Dettaglio SR'!$F$1:$F$501))=TRIM(UPPER(F6)),
                        ""
                    ),
                1)
            )),
            TRIM(UPPER(Applicazioni!$C$1:$C$474)),
            Applicazioni!$B$1:$B$474
        ),
        ""
    )
)</f>
        <v>C20260820_0046</v>
      </c>
      <c r="D6" s="50" t="str">
        <f>IFERROR(
    VLOOKUP(
        $A6,
        '[2]Dettaglio SR'!$A$1:$L$501,
        COLUMN(D5),
        FALSE
    ),
    ""
)</f>
        <v>Treno Danni</v>
      </c>
      <c r="E6" s="50" t="str">
        <f>IFERROR(
    VLOOKUP(
        $A6,
        '[2]Dettaglio SR'!$A$1:$L$501,
        COLUMN(E5),
        FALSE
    ),
    ""
)</f>
        <v>Ribaltamento Pass Prodotti/Doc RE</v>
      </c>
      <c r="F6" s="50" t="str">
        <f>IFERROR(
    VLOOKUP(
        $A6,
        '[2]Dettaglio SR'!$A$1:$L$501,
        COLUMN(F5),
        FALSE
    ),
    ""
)</f>
        <v>Pass RE</v>
      </c>
      <c r="G6" s="50" t="str">
        <f>IFERROR(
    VLOOKUP(
        $A6,
        '[2]Dettaglio SR'!$A$1:$L$501,
        COLUMN(G5),
        FALSE
    ),
    ""
)</f>
        <v>Scheduled by DBA</v>
      </c>
      <c r="H6" s="7" t="s">
        <v>204</v>
      </c>
      <c r="I6" s="5" t="str">
        <f>IFERROR(
    VLOOKUP(
        $A6,
        '[2]Dettaglio SR'!$A$1:$L$501,
        COLUMN(K5),
        FALSE
    ),
    ""
)</f>
        <v>Oracle</v>
      </c>
      <c r="J6" s="6"/>
      <c r="K6" s="6"/>
      <c r="O6" s="12" t="s">
        <v>30</v>
      </c>
      <c r="P6" t="s">
        <v>31</v>
      </c>
    </row>
    <row r="7" spans="1:16" ht="15" thickBot="1" x14ac:dyDescent="0.35">
      <c r="A7" s="12" t="s">
        <v>42</v>
      </c>
      <c r="B7" s="50" t="str">
        <f>IFERROR(VLOOKUP($A7, '[2]Dettaglio SR'!$A$1:$L$501, 2, FALSE), "")</f>
        <v>Service Request</v>
      </c>
      <c r="C7" s="50" t="str" cm="1">
        <f t="array" ref="C7">IFERROR(
    _xlfn.XLOOKUP(TRIM(UPPER(F7)),
        TRIM(UPPER(Applicazioni!$C$1:$C$474)),
        Applicazioni!$B$1:$B$474
    ),
    IFERROR(
        _xlfn.XLOOKUP(
            TRIM(UPPER(
                INDEX(
                    _xlfn._xlws.FILTER('[2]Dettaglio SR'!$C$1:$C$501,
                        TRIM(UPPER('[2]Dettaglio SR'!$F$1:$F$501))=TRIM(UPPER(F7)),
                        ""
                    ),
                1)
            )),
            TRIM(UPPER(Applicazioni!$C$1:$C$474)),
            Applicazioni!$B$1:$B$474
        ),
        ""
    )
)</f>
        <v>C20260821_0053</v>
      </c>
      <c r="D7" s="50" t="str">
        <f>IFERROR(
    VLOOKUP(
        $A7,
        '[2]Dettaglio SR'!$A$1:$L$501,
        COLUMN(D6),
        FALSE
    ),
    ""
)</f>
        <v>Colombo</v>
      </c>
      <c r="E7" s="50" t="str">
        <f>IFERROR(
    VLOOKUP(
        $A7,
        '[2]Dettaglio SR'!$A$1:$L$501,
        COLUMN(E6),
        FALSE
    ),
    ""
)</f>
        <v>Rilascio SW AIA</v>
      </c>
      <c r="F7" s="50" t="str">
        <f>IFERROR(
    VLOOKUP(
        $A7,
        '[2]Dettaglio SR'!$A$1:$L$501,
        COLUMN(F6),
        FALSE
    ),
    ""
)</f>
        <v>AIA</v>
      </c>
      <c r="G7" s="50" t="str">
        <f>IFERROR(
    VLOOKUP(
        $A7,
        '[2]Dettaglio SR'!$A$1:$L$501,
        COLUMN(G6),
        FALSE
    ),
    ""
)</f>
        <v>Manual by HD2-SYSTEM</v>
      </c>
      <c r="H7" s="55" t="s">
        <v>212</v>
      </c>
      <c r="I7" s="5" t="str">
        <f>IFERROR(
    VLOOKUP(
        $A7,
        '[2]Dettaglio SR'!$A$1:$L$501,
        COLUMN(K6),
        FALSE
    ),
    ""
)</f>
        <v>Windows</v>
      </c>
      <c r="J7" s="6"/>
      <c r="K7" s="6"/>
      <c r="O7" s="12" t="s">
        <v>33</v>
      </c>
    </row>
    <row r="8" spans="1:16" ht="29.4" thickBot="1" x14ac:dyDescent="0.35">
      <c r="A8" s="12" t="s">
        <v>24</v>
      </c>
      <c r="B8" s="14" t="str">
        <f>IFERROR(VLOOKUP($A8, '[2]Dettaglio SR'!$A$1:$L$501, 2, FALSE), "")</f>
        <v>Service Request</v>
      </c>
      <c r="C8" s="50" t="str" cm="1">
        <f t="array" ref="C8">IFERROR(
    _xlfn.XLOOKUP(TRIM(UPPER(F8)),
        TRIM(UPPER(Applicazioni!$C$1:$C$474)),
        Applicazioni!$B$1:$B$474
    ),
    IFERROR(
        _xlfn.XLOOKUP(
            TRIM(UPPER(
                INDEX(
                    _xlfn._xlws.FILTER('[2]Dettaglio SR'!$C$1:$C$501,
                        TRIM(UPPER('[2]Dettaglio SR'!$F$1:$F$501))=TRIM(UPPER(F8)),
                        ""
                    ),
                1)
            )),
            TRIM(UPPER(Applicazioni!$C$1:$C$474)),
            Applicazioni!$B$1:$B$474
        ),
        ""
    )
)</f>
        <v>C20260821_0053</v>
      </c>
      <c r="D8" s="14" t="str">
        <f>IFERROR(
    VLOOKUP(
        $A8,
        '[2]Dettaglio SR'!$A$1:$L$501,
        COLUMN(D7),
        FALSE
    ),
    ""
)</f>
        <v>Colombo</v>
      </c>
      <c r="E8" s="25" t="str">
        <f>IFERROR(
    VLOOKUP(
        $A8,
        '[2]Dettaglio SR'!$A$1:$L$501,
        COLUMN(E7),
        FALSE
    ),
    ""
)</f>
        <v>Attività su DB AIA</v>
      </c>
      <c r="F8" s="14" t="str">
        <f>IFERROR(
    VLOOKUP(
        $A8,
        '[2]Dettaglio SR'!$A$1:$L$501,
        COLUMN(F7),
        FALSE
    ),
    ""
)</f>
        <v>AIA</v>
      </c>
      <c r="G8" s="14" t="str">
        <f>IFERROR(
    VLOOKUP(
        $A8,
        '[2]Dettaglio SR'!$A$1:$L$501,
        COLUMN(G7),
        FALSE
    ),
    ""
)</f>
        <v>Scheduled by DBA</v>
      </c>
      <c r="H8" s="56" t="s">
        <v>222</v>
      </c>
      <c r="I8" s="14" t="str">
        <f>IFERROR(
    VLOOKUP(
        $A8,
        '[2]Dettaglio SR'!$A$1:$L$501,
        COLUMN(K7),
        FALSE
    ),
    ""
)</f>
        <v>Oracle</v>
      </c>
      <c r="J8" s="6"/>
      <c r="K8" s="6"/>
      <c r="O8" s="12" t="s">
        <v>35</v>
      </c>
    </row>
    <row r="9" spans="1:16" x14ac:dyDescent="0.3">
      <c r="A9" s="18" t="s">
        <v>40</v>
      </c>
      <c r="B9" s="5" t="str">
        <f>IFERROR(VLOOKUP($A9, '[2]Dettaglio SR'!$A$1:$L$501, 2, FALSE), "")</f>
        <v>Rilascio eseguito da Marco Germano</v>
      </c>
      <c r="C9" s="50" t="str" cm="1">
        <f t="array" ref="C9">IFERROR(
    _xlfn.XLOOKUP(TRIM(UPPER(F9)),
        TRIM(UPPER(Applicazioni!$C$1:$C$474)),
        Applicazioni!$B$1:$B$474
    ),
    IFERROR(
        _xlfn.XLOOKUP(
            TRIM(UPPER(
                INDEX(
                    _xlfn._xlws.FILTER('[2]Dettaglio SR'!$C$1:$C$501,
                        TRIM(UPPER('[2]Dettaglio SR'!$F$1:$F$501))=TRIM(UPPER(F9)),
                        ""
                    ),
                1)
            )),
            TRIM(UPPER(Applicazioni!$C$1:$C$474)),
            Applicazioni!$B$1:$B$474
        ),
        ""
    )
)</f>
        <v>C20260821_0054</v>
      </c>
      <c r="D9" s="5" t="str">
        <f>IFERROR(
    VLOOKUP(
        $A9,
        '[2]Dettaglio SR'!$A$1:$L$501,
        COLUMN(D8),
        FALSE
    ),
    ""
)</f>
        <v>Team ISAAC Jacobs - Catarinella</v>
      </c>
      <c r="E9" s="5" t="str">
        <f>IFERROR(
    VLOOKUP(
        $A9,
        '[2]Dettaglio SR'!$A$1:$L$501,
        COLUMN(E8),
        FALSE
    ),
    ""
)</f>
        <v xml:space="preserve">Rilascio ISAAC </v>
      </c>
      <c r="F9" s="5" t="str">
        <f>IFERROR(
    VLOOKUP(
        $A9,
        '[2]Dettaglio SR'!$A$1:$L$501,
        COLUMN(F8),
        FALSE
    ),
    ""
)</f>
        <v>Pega ISAAC</v>
      </c>
      <c r="G9" s="5" t="str">
        <f>IFERROR(
    VLOOKUP(
        $A9,
        '[2]Dettaglio SR'!$A$1:$L$501,
        COLUMN(G8),
        FALSE
    ),
    ""
)</f>
        <v>Manual</v>
      </c>
      <c r="H9" s="7"/>
      <c r="I9" s="5" t="str">
        <f>IFERROR(
    VLOOKUP(
        $A9,
        '[2]Dettaglio SR'!$A$1:$L$501,
        COLUMN(K8),
        FALSE
    ),
    ""
)</f>
        <v>Pipeline PEGA</v>
      </c>
      <c r="J9" s="6"/>
      <c r="K9" s="6"/>
      <c r="O9" s="12" t="s">
        <v>37</v>
      </c>
    </row>
    <row r="10" spans="1:16" x14ac:dyDescent="0.3">
      <c r="A10" s="18"/>
      <c r="B10" s="5" t="str">
        <f>IFERROR(VLOOKUP($A10, '[2]Dettaglio SR'!$A$1:$L$501, 2, FALSE), "")</f>
        <v/>
      </c>
      <c r="C10" s="50" cm="1">
        <f t="array" ref="C10">IFERROR(
    _xlfn.XLOOKUP(TRIM(UPPER(F10)),
        TRIM(UPPER(Applicazioni!$C$1:$C$474)),
        Applicazioni!$B$1:$B$474
    ),
    IFERROR(
        _xlfn.XLOOKUP(
            TRIM(UPPER(
                INDEX(
                    _xlfn._xlws.FILTER('[2]Dettaglio SR'!$C$1:$C$501,
                        TRIM(UPPER('[2]Dettaglio SR'!$F$1:$F$501))=TRIM(UPPER(F10)),
                        ""
                    ),
                1)
            )),
            TRIM(UPPER(Applicazioni!$C$1:$C$474)),
            Applicazioni!$B$1:$B$474
        ),
        ""
    )
)</f>
        <v>0</v>
      </c>
      <c r="D10" s="5" t="str">
        <f>IFERROR(
    VLOOKUP(
        $A10,
        '[2]Dettaglio SR'!$A$1:$L$501,
        COLUMN(D9),
        FALSE
    ),
    ""
)</f>
        <v/>
      </c>
      <c r="E10" s="5" t="str">
        <f>IFERROR(
    VLOOKUP(
        $A10,
        '[2]Dettaglio SR'!$A$1:$L$501,
        COLUMN(E9),
        FALSE
    ),
    ""
)</f>
        <v/>
      </c>
      <c r="F10" s="5" t="str">
        <f>IFERROR(
    VLOOKUP(
        $A10,
        '[2]Dettaglio SR'!$A$1:$L$501,
        COLUMN(F9),
        FALSE
    ),
    ""
)</f>
        <v/>
      </c>
      <c r="G10" s="5" t="str">
        <f>IFERROR(
    VLOOKUP(
        $A10,
        '[2]Dettaglio SR'!$A$1:$L$501,
        COLUMN(G9),
        FALSE
    ),
    ""
)</f>
        <v/>
      </c>
      <c r="I10" s="5" t="str">
        <f>IFERROR(
    VLOOKUP(
        $A10,
        '[2]Dettaglio SR'!$A$1:$L$501,
        COLUMN(K9),
        FALSE
    ),
    ""
)</f>
        <v/>
      </c>
      <c r="J10" s="6"/>
      <c r="K10" s="6"/>
      <c r="O10" s="12" t="s">
        <v>39</v>
      </c>
    </row>
    <row r="11" spans="1:16" x14ac:dyDescent="0.3">
      <c r="A11" s="12"/>
      <c r="B11" s="5" t="str">
        <f>IFERROR(VLOOKUP($A11, '[2]Dettaglio SR'!$A$1:$L$501, 2, FALSE), "")</f>
        <v/>
      </c>
      <c r="C11" s="50" cm="1">
        <f t="array" ref="C11">IFERROR(
    _xlfn.XLOOKUP(TRIM(UPPER(F11)),
        TRIM(UPPER(Applicazioni!$C$1:$C$474)),
        Applicazioni!$B$1:$B$474
    ),
    IFERROR(
        _xlfn.XLOOKUP(
            TRIM(UPPER(
                INDEX(
                    _xlfn._xlws.FILTER('[2]Dettaglio SR'!$C$1:$C$501,
                        TRIM(UPPER('[2]Dettaglio SR'!$F$1:$F$501))=TRIM(UPPER(F11)),
                        ""
                    ),
                1)
            )),
            TRIM(UPPER(Applicazioni!$C$1:$C$474)),
            Applicazioni!$B$1:$B$474
        ),
        ""
    )
)</f>
        <v>0</v>
      </c>
      <c r="D11" s="5" t="str">
        <f>IFERROR(
    VLOOKUP(
        $A11,
        '[2]Dettaglio SR'!$A$1:$L$501,
        COLUMN(D10),
        FALSE
    ),
    ""
)</f>
        <v/>
      </c>
      <c r="E11" s="5" t="str">
        <f>IFERROR(
    VLOOKUP(
        $A11,
        '[2]Dettaglio SR'!$A$1:$L$501,
        COLUMN(E10),
        FALSE
    ),
    ""
)</f>
        <v/>
      </c>
      <c r="F11" s="5" t="str">
        <f>IFERROR(
    VLOOKUP(
        $A11,
        '[2]Dettaglio SR'!$A$1:$L$501,
        COLUMN(F10),
        FALSE
    ),
    ""
)</f>
        <v/>
      </c>
      <c r="G11" s="5" t="str">
        <f>IFERROR(
    VLOOKUP(
        $A11,
        '[2]Dettaglio SR'!$A$1:$L$501,
        COLUMN(G10),
        FALSE
    ),
    ""
)</f>
        <v/>
      </c>
      <c r="I11" s="5" t="str">
        <f>IFERROR(
    VLOOKUP(
        $A11,
        '[2]Dettaglio SR'!$A$1:$L$501,
        COLUMN(K10),
        FALSE
    ),
    ""
)</f>
        <v/>
      </c>
      <c r="J11" s="6"/>
      <c r="O11" s="12" t="s">
        <v>41</v>
      </c>
    </row>
    <row r="12" spans="1:16" x14ac:dyDescent="0.3">
      <c r="A12" s="18"/>
      <c r="B12" s="5" t="str">
        <f>IFERROR(VLOOKUP($A12, '[2]Dettaglio SR'!$A$1:$L$501, 2, FALSE), "")</f>
        <v/>
      </c>
      <c r="C12" s="50" cm="1">
        <f t="array" ref="C12">IFERROR(
    _xlfn.XLOOKUP(TRIM(UPPER(F12)),
        TRIM(UPPER(Applicazioni!$C$1:$C$474)),
        Applicazioni!$B$1:$B$474
    ),
    IFERROR(
        _xlfn.XLOOKUP(
            TRIM(UPPER(
                INDEX(
                    _xlfn._xlws.FILTER('[2]Dettaglio SR'!$C$1:$C$501,
                        TRIM(UPPER('[2]Dettaglio SR'!$F$1:$F$501))=TRIM(UPPER(F12)),
                        ""
                    ),
                1)
            )),
            TRIM(UPPER(Applicazioni!$C$1:$C$474)),
            Applicazioni!$B$1:$B$474
        ),
        ""
    )
)</f>
        <v>0</v>
      </c>
      <c r="D12" s="5" t="str">
        <f>IFERROR(
    VLOOKUP(
        $A12,
        '[2]Dettaglio SR'!$A$1:$L$501,
        COLUMN(D11),
        FALSE
    ),
    ""
)</f>
        <v/>
      </c>
      <c r="E12" s="5" t="str">
        <f>IFERROR(
    VLOOKUP(
        $A12,
        '[2]Dettaglio SR'!$A$1:$L$501,
        COLUMN(E11),
        FALSE
    ),
    ""
)</f>
        <v/>
      </c>
      <c r="F12" s="5" t="str">
        <f>IFERROR(
    VLOOKUP(
        $A12,
        '[2]Dettaglio SR'!$A$1:$L$501,
        COLUMN(F11),
        FALSE
    ),
    ""
)</f>
        <v/>
      </c>
      <c r="G12" s="5" t="str">
        <f>IFERROR(
    VLOOKUP(
        $A12,
        '[2]Dettaglio SR'!$A$1:$L$501,
        COLUMN(G11),
        FALSE
    ),
    ""
)</f>
        <v/>
      </c>
      <c r="I12" s="5" t="str">
        <f>IFERROR(
    VLOOKUP(
        $A12,
        '[2]Dettaglio SR'!$A$1:$L$501,
        COLUMN(K11),
        FALSE
    ),
    ""
)</f>
        <v/>
      </c>
      <c r="O12" s="12" t="s">
        <v>43</v>
      </c>
    </row>
    <row r="13" spans="1:16" x14ac:dyDescent="0.3">
      <c r="A13" s="18"/>
      <c r="B13" s="5" t="str">
        <f>IFERROR(VLOOKUP($A13, '[2]Dettaglio SR'!$A$1:$L$501, 2, FALSE), "")</f>
        <v/>
      </c>
      <c r="C13" s="50" cm="1">
        <f t="array" ref="C13">IFERROR(
    _xlfn.XLOOKUP(TRIM(UPPER(F13)),
        TRIM(UPPER(Applicazioni!$C$1:$C$474)),
        Applicazioni!$B$1:$B$474
    ),
    IFERROR(
        _xlfn.XLOOKUP(
            TRIM(UPPER(
                INDEX(
                    _xlfn._xlws.FILTER('[2]Dettaglio SR'!$C$1:$C$501,
                        TRIM(UPPER('[2]Dettaglio SR'!$F$1:$F$501))=TRIM(UPPER(F13)),
                        ""
                    ),
                1)
            )),
            TRIM(UPPER(Applicazioni!$C$1:$C$474)),
            Applicazioni!$B$1:$B$474
        ),
        ""
    )
)</f>
        <v>0</v>
      </c>
      <c r="D13" s="5" t="str">
        <f>IFERROR(
    VLOOKUP(
        $A13,
        '[2]Dettaglio SR'!$A$1:$L$501,
        COLUMN(D12),
        FALSE
    ),
    ""
)</f>
        <v/>
      </c>
      <c r="E13" s="5" t="str">
        <f>IFERROR(
    VLOOKUP(
        $A13,
        '[2]Dettaglio SR'!$A$1:$L$501,
        COLUMN(E12),
        FALSE
    ),
    ""
)</f>
        <v/>
      </c>
      <c r="F13" s="5" t="str">
        <f>IFERROR(
    VLOOKUP(
        $A13,
        '[2]Dettaglio SR'!$A$1:$L$501,
        COLUMN(F12),
        FALSE
    ),
    ""
)</f>
        <v/>
      </c>
      <c r="G13" s="5" t="str">
        <f>IFERROR(
    VLOOKUP(
        $A13,
        '[2]Dettaglio SR'!$A$1:$L$501,
        COLUMN(G12),
        FALSE
    ),
    ""
)</f>
        <v/>
      </c>
      <c r="I13" s="5" t="str">
        <f>IFERROR(
    VLOOKUP(
        $A13,
        '[2]Dettaglio SR'!$A$1:$L$501,
        COLUMN(K12),
        FALSE
    ),
    ""
)</f>
        <v/>
      </c>
      <c r="O13" s="12" t="s">
        <v>45</v>
      </c>
    </row>
    <row r="14" spans="1:16" x14ac:dyDescent="0.3">
      <c r="A14" s="12"/>
      <c r="B14" s="5" t="str">
        <f>IFERROR(VLOOKUP($A14, '[2]Dettaglio SR'!$A$1:$L$501, 2, FALSE), "")</f>
        <v/>
      </c>
      <c r="C14" s="14" cm="1">
        <f t="array" ref="C14">IFERROR(
    _xlfn.XLOOKUP(TRIM(UPPER(F14)),
        TRIM(UPPER(Applicazioni!$C$1:$C$474)),
        Applicazioni!$B$1:$B$474
    ),
    IFERROR(
        _xlfn.XLOOKUP(
            TRIM(UPPER(
                INDEX(
                    _xlfn._xlws.FILTER('[2]Dettaglio SR'!$C$1:$C$501,
                        TRIM(UPPER('[2]Dettaglio SR'!$F$1:$F$501))=TRIM(UPPER(F14)),
                        ""
                    ),
                1)
            )),
            TRIM(UPPER(Applicazioni!$C$1:$C$474)),
            Applicazioni!$B$1:$B$474
        ),
        ""
    )
)</f>
        <v>0</v>
      </c>
      <c r="D14" s="5" t="str">
        <f>IFERROR(
    VLOOKUP(
        $A14,
        '[2]Dettaglio SR'!$A$1:$L$501,
        COLUMN(D13),
        FALSE
    ),
    ""
)</f>
        <v/>
      </c>
      <c r="E14" s="5" t="str">
        <f>IFERROR(
    VLOOKUP(
        $A14,
        '[2]Dettaglio SR'!$A$1:$L$501,
        COLUMN(E13),
        FALSE
    ),
    ""
)</f>
        <v/>
      </c>
      <c r="F14" s="5" t="str">
        <f>IFERROR(
    VLOOKUP(
        $A14,
        '[2]Dettaglio SR'!$A$1:$L$501,
        COLUMN(F13),
        FALSE
    ),
    ""
)</f>
        <v/>
      </c>
      <c r="G14" s="5" t="str">
        <f>IFERROR(
    VLOOKUP(
        $A14,
        '[2]Dettaglio SR'!$A$1:$L$501,
        COLUMN(G13),
        FALSE
    ),
    ""
)</f>
        <v/>
      </c>
      <c r="I14" s="5" t="str">
        <f>IFERROR(
    VLOOKUP(
        $A14,
        '[2]Dettaglio SR'!$A$1:$L$501,
        COLUMN(K13),
        FALSE
    ),
    ""
)</f>
        <v/>
      </c>
      <c r="O14" s="12" t="s">
        <v>44</v>
      </c>
    </row>
    <row r="15" spans="1:16" x14ac:dyDescent="0.3">
      <c r="A15" s="18"/>
      <c r="B15" s="5" t="str">
        <f>IFERROR(VLOOKUP($A15, '[2]Dettaglio SR'!$A$1:$L$501, 2, FALSE), "")</f>
        <v/>
      </c>
      <c r="C15" s="7"/>
      <c r="D15" s="5" t="str">
        <f>IFERROR(
    VLOOKUP(
        $A15,
        '[2]Dettaglio SR'!$A$1:$L$501,
        COLUMN(D14),
        FALSE
    ),
    ""
)</f>
        <v/>
      </c>
      <c r="E15" s="5" t="str">
        <f>IFERROR(
    VLOOKUP(
        $A15,
        '[2]Dettaglio SR'!$A$1:$L$501,
        COLUMN(E14),
        FALSE
    ),
    ""
)</f>
        <v/>
      </c>
      <c r="F15" s="5" t="str">
        <f>IFERROR(
    VLOOKUP(
        $A15,
        '[2]Dettaglio SR'!$A$1:$L$501,
        COLUMN(F14),
        FALSE
    ),
    ""
)</f>
        <v/>
      </c>
      <c r="G15" s="5" t="str">
        <f>IFERROR(
    VLOOKUP(
        $A15,
        '[2]Dettaglio SR'!$A$1:$L$501,
        COLUMN(G14),
        FALSE
    ),
    ""
)</f>
        <v/>
      </c>
      <c r="I15" s="5" t="str">
        <f>IFERROR(
    VLOOKUP(
        $A15,
        '[2]Dettaglio SR'!$A$1:$L$501,
        COLUMN(K14),
        FALSE
    ),
    ""
)</f>
        <v/>
      </c>
      <c r="O15" s="12" t="s">
        <v>47</v>
      </c>
    </row>
    <row r="16" spans="1:16" x14ac:dyDescent="0.3">
      <c r="A16" s="18"/>
      <c r="B16" s="5" t="str">
        <f>IFERROR(VLOOKUP($A16, '[2]Dettaglio SR'!$A$1:$L$501, 2, FALSE), "")</f>
        <v/>
      </c>
      <c r="C16" s="7"/>
      <c r="D16" s="5" t="str">
        <f>IFERROR(
    VLOOKUP(
        $A16,
        '[2]Dettaglio SR'!$A$1:$L$501,
        COLUMN(D15),
        FALSE
    ),
    ""
)</f>
        <v/>
      </c>
      <c r="E16" s="5" t="str">
        <f>IFERROR(
    VLOOKUP(
        $A16,
        '[2]Dettaglio SR'!$A$1:$L$501,
        COLUMN(E15),
        FALSE
    ),
    ""
)</f>
        <v/>
      </c>
      <c r="F16" s="5" t="str">
        <f>IFERROR(
    VLOOKUP(
        $A16,
        '[2]Dettaglio SR'!$A$1:$L$501,
        COLUMN(F15),
        FALSE
    ),
    ""
)</f>
        <v/>
      </c>
      <c r="G16" s="5" t="str">
        <f>IFERROR(
    VLOOKUP(
        $A16,
        '[2]Dettaglio SR'!$A$1:$L$501,
        COLUMN(G15),
        FALSE
    ),
    ""
)</f>
        <v/>
      </c>
      <c r="I16" s="5" t="str">
        <f>IFERROR(
    VLOOKUP(
        $A16,
        '[2]Dettaglio SR'!$A$1:$L$501,
        COLUMN(K15),
        FALSE
    ),
    ""
)</f>
        <v/>
      </c>
      <c r="O16" s="12" t="s">
        <v>48</v>
      </c>
    </row>
    <row r="17" spans="1:15" x14ac:dyDescent="0.3">
      <c r="A17" s="18"/>
      <c r="B17" s="5" t="str">
        <f>IFERROR(VLOOKUP($A17, '[2]Dettaglio SR'!$A$1:$L$501, 2, FALSE), "")</f>
        <v/>
      </c>
      <c r="C17" s="7"/>
      <c r="D17" s="5" t="str">
        <f>IFERROR(
    VLOOKUP(
        $A17,
        '[2]Dettaglio SR'!$A$1:$L$501,
        COLUMN(D16),
        FALSE
    ),
    ""
)</f>
        <v/>
      </c>
      <c r="E17" s="5" t="str">
        <f>IFERROR(
    VLOOKUP(
        $A17,
        '[2]Dettaglio SR'!$A$1:$L$501,
        COLUMN(E16),
        FALSE
    ),
    ""
)</f>
        <v/>
      </c>
      <c r="F17" s="5" t="str">
        <f>IFERROR(
    VLOOKUP(
        $A17,
        '[2]Dettaglio SR'!$A$1:$L$501,
        COLUMN(F16),
        FALSE
    ),
    ""
)</f>
        <v/>
      </c>
      <c r="G17" s="5" t="str">
        <f>IFERROR(
    VLOOKUP(
        $A17,
        '[2]Dettaglio SR'!$A$1:$L$501,
        COLUMN(G16),
        FALSE
    ),
    ""
)</f>
        <v/>
      </c>
      <c r="I17" s="5" t="str">
        <f>IFERROR(
    VLOOKUP(
        $A17,
        '[2]Dettaglio SR'!$A$1:$L$501,
        COLUMN(K16),
        FALSE
    ),
    ""
)</f>
        <v/>
      </c>
      <c r="O17" s="12" t="s">
        <v>38</v>
      </c>
    </row>
    <row r="18" spans="1:15" x14ac:dyDescent="0.3">
      <c r="A18" s="18"/>
      <c r="B18" s="5" t="str">
        <f>IFERROR(VLOOKUP($A18, '[2]Dettaglio SR'!$A$1:$L$501, 2, FALSE), "")</f>
        <v/>
      </c>
      <c r="C18" s="7"/>
      <c r="D18" s="5" t="str">
        <f>IFERROR(
    VLOOKUP(
        $A18,
        '[2]Dettaglio SR'!$A$1:$L$501,
        COLUMN(D17),
        FALSE
    ),
    ""
)</f>
        <v/>
      </c>
      <c r="E18" s="5" t="str">
        <f>IFERROR(
    VLOOKUP(
        $A18,
        '[2]Dettaglio SR'!$A$1:$L$501,
        COLUMN(E17),
        FALSE
    ),
    ""
)</f>
        <v/>
      </c>
      <c r="F18" s="5" t="str">
        <f>IFERROR(
    VLOOKUP(
        $A18,
        '[2]Dettaglio SR'!$A$1:$L$501,
        COLUMN(F17),
        FALSE
    ),
    ""
)</f>
        <v/>
      </c>
      <c r="G18" s="5" t="str">
        <f>IFERROR(
    VLOOKUP(
        $A18,
        '[2]Dettaglio SR'!$A$1:$L$501,
        COLUMN(G17),
        FALSE
    ),
    ""
)</f>
        <v/>
      </c>
      <c r="H18" s="23"/>
      <c r="I18" s="5" t="str">
        <f>IFERROR(
    VLOOKUP(
        $A18,
        '[2]Dettaglio SR'!$A$1:$L$501,
        COLUMN(K17),
        FALSE
    ),
    ""
)</f>
        <v/>
      </c>
      <c r="O18" s="12" t="s">
        <v>49</v>
      </c>
    </row>
    <row r="19" spans="1:15" x14ac:dyDescent="0.3">
      <c r="A19" s="18"/>
      <c r="B19" s="5" t="str">
        <f>IFERROR(VLOOKUP($A19, '[2]Dettaglio SR'!$A$1:$L$501, 2, FALSE), "")</f>
        <v/>
      </c>
      <c r="C19" s="7"/>
      <c r="D19" s="5" t="str">
        <f>IFERROR(
    VLOOKUP(
        $A19,
        '[2]Dettaglio SR'!$A$1:$L$501,
        COLUMN(D18),
        FALSE
    ),
    ""
)</f>
        <v/>
      </c>
      <c r="E19" s="5" t="str">
        <f>IFERROR(
    VLOOKUP(
        $A19,
        '[2]Dettaglio SR'!$A$1:$L$501,
        COLUMN(E18),
        FALSE
    ),
    ""
)</f>
        <v/>
      </c>
      <c r="F19" s="5" t="str">
        <f>IFERROR(
    VLOOKUP(
        $A19,
        '[2]Dettaglio SR'!$A$1:$L$501,
        COLUMN(F18),
        FALSE
    ),
    ""
)</f>
        <v/>
      </c>
      <c r="G19" s="5" t="str">
        <f>IFERROR(
    VLOOKUP(
        $A19,
        '[2]Dettaglio SR'!$A$1:$L$501,
        COLUMN(G18),
        FALSE
    ),
    ""
)</f>
        <v/>
      </c>
      <c r="H19" s="23"/>
      <c r="I19" s="5" t="str">
        <f>IFERROR(
    VLOOKUP(
        $A19,
        '[2]Dettaglio SR'!$A$1:$L$501,
        COLUMN(K18),
        FALSE
    ),
    ""
)</f>
        <v/>
      </c>
      <c r="O19" s="12" t="s">
        <v>50</v>
      </c>
    </row>
    <row r="20" spans="1:15" x14ac:dyDescent="0.3">
      <c r="A20" s="18"/>
      <c r="B20" s="5" t="str">
        <f>IFERROR(VLOOKUP($A20, '[2]Dettaglio SR'!$A$1:$L$501, 2, FALSE), "")</f>
        <v/>
      </c>
      <c r="C20" s="7"/>
      <c r="D20" s="5" t="str">
        <f>IFERROR(
    VLOOKUP(
        $A20,
        '[2]Dettaglio SR'!$A$1:$L$501,
        COLUMN(D19),
        FALSE
    ),
    ""
)</f>
        <v/>
      </c>
      <c r="E20" s="5" t="str">
        <f>IFERROR(
    VLOOKUP(
        $A20,
        '[2]Dettaglio SR'!$A$1:$L$501,
        COLUMN(E19),
        FALSE
    ),
    ""
)</f>
        <v/>
      </c>
      <c r="F20" s="5" t="str">
        <f>IFERROR(
    VLOOKUP(
        $A20,
        '[2]Dettaglio SR'!$A$1:$L$501,
        COLUMN(F19),
        FALSE
    ),
    ""
)</f>
        <v/>
      </c>
      <c r="G20" s="5" t="str">
        <f>IFERROR(
    VLOOKUP(
        $A20,
        '[2]Dettaglio SR'!$A$1:$L$501,
        COLUMN(G19),
        FALSE
    ),
    ""
)</f>
        <v/>
      </c>
      <c r="H20" s="23"/>
      <c r="I20" s="5" t="str">
        <f>IFERROR(
    VLOOKUP(
        $A20,
        '[2]Dettaglio SR'!$A$1:$L$501,
        COLUMN(K19),
        FALSE
    ),
    ""
)</f>
        <v/>
      </c>
      <c r="O20" s="12" t="s">
        <v>51</v>
      </c>
    </row>
    <row r="21" spans="1:15" x14ac:dyDescent="0.3">
      <c r="A21" s="18"/>
      <c r="B21" s="5" t="str">
        <f>IFERROR(VLOOKUP($A21, '[2]Dettaglio SR'!$A$1:$L$501, 2, FALSE), "")</f>
        <v/>
      </c>
      <c r="C21" s="7"/>
      <c r="D21" s="5" t="str">
        <f>IFERROR(
    VLOOKUP(
        $A21,
        '[2]Dettaglio SR'!$A$1:$L$501,
        COLUMN(D20),
        FALSE
    ),
    ""
)</f>
        <v/>
      </c>
      <c r="E21" s="5" t="str">
        <f>IFERROR(
    VLOOKUP(
        $A21,
        '[2]Dettaglio SR'!$A$1:$L$501,
        COLUMN(E20),
        FALSE
    ),
    ""
)</f>
        <v/>
      </c>
      <c r="F21" s="5" t="str">
        <f>IFERROR(
    VLOOKUP(
        $A21,
        '[2]Dettaglio SR'!$A$1:$L$501,
        COLUMN(F20),
        FALSE
    ),
    ""
)</f>
        <v/>
      </c>
      <c r="G21" s="5" t="str">
        <f>IFERROR(
    VLOOKUP(
        $A21,
        '[2]Dettaglio SR'!$A$1:$L$501,
        COLUMN(G20),
        FALSE
    ),
    ""
)</f>
        <v/>
      </c>
      <c r="H21" s="23"/>
      <c r="I21" s="5" t="str">
        <f>IFERROR(
    VLOOKUP(
        $A21,
        '[2]Dettaglio SR'!$A$1:$L$501,
        COLUMN(K20),
        FALSE
    ),
    ""
)</f>
        <v/>
      </c>
      <c r="O21" s="12" t="s">
        <v>52</v>
      </c>
    </row>
    <row r="22" spans="1:15" x14ac:dyDescent="0.3">
      <c r="A22" s="18"/>
      <c r="B22" s="5" t="str">
        <f>IFERROR(VLOOKUP($A22, '[2]Dettaglio SR'!$A$1:$L$501, 2, FALSE), "")</f>
        <v/>
      </c>
      <c r="C22" s="7"/>
      <c r="D22" s="5" t="str">
        <f>IFERROR(
    VLOOKUP(
        $A22,
        '[2]Dettaglio SR'!$A$1:$L$501,
        COLUMN(D21),
        FALSE
    ),
    ""
)</f>
        <v/>
      </c>
      <c r="E22" s="5" t="str">
        <f>IFERROR(
    VLOOKUP(
        $A22,
        '[2]Dettaglio SR'!$A$1:$L$501,
        COLUMN(E21),
        FALSE
    ),
    ""
)</f>
        <v/>
      </c>
      <c r="F22" s="5" t="str">
        <f>IFERROR(
    VLOOKUP(
        $A22,
        '[2]Dettaglio SR'!$A$1:$L$501,
        COLUMN(F21),
        FALSE
    ),
    ""
)</f>
        <v/>
      </c>
      <c r="G22" s="5" t="str">
        <f>IFERROR(
    VLOOKUP(
        $A22,
        '[2]Dettaglio SR'!$A$1:$L$501,
        COLUMN(G21),
        FALSE
    ),
    ""
)</f>
        <v/>
      </c>
      <c r="H22" s="23"/>
      <c r="I22" s="5" t="str">
        <f>IFERROR(
    VLOOKUP(
        $A22,
        '[2]Dettaglio SR'!$A$1:$L$501,
        COLUMN(K21),
        FALSE
    ),
    ""
)</f>
        <v/>
      </c>
      <c r="O22" s="12" t="s">
        <v>53</v>
      </c>
    </row>
    <row r="23" spans="1:15" x14ac:dyDescent="0.3">
      <c r="A23" s="18"/>
      <c r="B23" s="5" t="str">
        <f>IFERROR(VLOOKUP($A23, '[2]Dettaglio SR'!$A$1:$L$501, 2, FALSE), "")</f>
        <v/>
      </c>
      <c r="C23" s="7"/>
      <c r="D23" s="5" t="str">
        <f>IFERROR(
    VLOOKUP(
        $A23,
        '[2]Dettaglio SR'!$A$1:$L$501,
        COLUMN(D22),
        FALSE
    ),
    ""
)</f>
        <v/>
      </c>
      <c r="E23" s="5" t="str">
        <f>IFERROR(
    VLOOKUP(
        $A23,
        '[2]Dettaglio SR'!$A$1:$L$501,
        COLUMN(E22),
        FALSE
    ),
    ""
)</f>
        <v/>
      </c>
      <c r="F23" s="5" t="str">
        <f>IFERROR(
    VLOOKUP(
        $A23,
        '[2]Dettaglio SR'!$A$1:$L$501,
        COLUMN(F22),
        FALSE
    ),
    ""
)</f>
        <v/>
      </c>
      <c r="G23" s="5" t="str">
        <f>IFERROR(
    VLOOKUP(
        $A23,
        '[2]Dettaglio SR'!$A$1:$L$501,
        COLUMN(G22),
        FALSE
    ),
    ""
)</f>
        <v/>
      </c>
      <c r="H23" s="23"/>
      <c r="I23" s="5" t="str">
        <f>IFERROR(
    VLOOKUP(
        $A23,
        '[2]Dettaglio SR'!$A$1:$L$501,
        COLUMN(K22),
        FALSE
    ),
    ""
)</f>
        <v/>
      </c>
      <c r="O23" s="12" t="s">
        <v>54</v>
      </c>
    </row>
    <row r="24" spans="1:15" x14ac:dyDescent="0.3">
      <c r="A24" s="18"/>
      <c r="B24" s="5" t="str">
        <f>IFERROR(VLOOKUP($A24, '[2]Dettaglio SR'!$A$1:$L$501, 2, FALSE), "")</f>
        <v/>
      </c>
      <c r="C24" s="7"/>
      <c r="D24" s="5" t="str">
        <f>IFERROR(
    VLOOKUP(
        $A24,
        '[2]Dettaglio SR'!$A$1:$L$501,
        COLUMN(D23),
        FALSE
    ),
    ""
)</f>
        <v/>
      </c>
      <c r="E24" s="5" t="str">
        <f>IFERROR(
    VLOOKUP(
        $A24,
        '[2]Dettaglio SR'!$A$1:$L$501,
        COLUMN(E23),
        FALSE
    ),
    ""
)</f>
        <v/>
      </c>
      <c r="F24" s="5" t="str">
        <f>IFERROR(
    VLOOKUP(
        $A24,
        '[2]Dettaglio SR'!$A$1:$L$501,
        COLUMN(F23),
        FALSE
    ),
    ""
)</f>
        <v/>
      </c>
      <c r="G24" s="5" t="str">
        <f>IFERROR(
    VLOOKUP(
        $A24,
        '[2]Dettaglio SR'!$A$1:$L$501,
        COLUMN(G23),
        FALSE
    ),
    ""
)</f>
        <v/>
      </c>
      <c r="H24" s="23"/>
      <c r="I24" s="5" t="str">
        <f>IFERROR(
    VLOOKUP(
        $A24,
        '[2]Dettaglio SR'!$A$1:$L$501,
        COLUMN(K23),
        FALSE
    ),
    ""
)</f>
        <v/>
      </c>
      <c r="O24" s="12" t="s">
        <v>55</v>
      </c>
    </row>
    <row r="25" spans="1:15" x14ac:dyDescent="0.3">
      <c r="A25" s="18"/>
      <c r="B25" s="5" t="str">
        <f>IFERROR(VLOOKUP($A25, '[2]Dettaglio SR'!$A$1:$L$501, 2, FALSE), "")</f>
        <v/>
      </c>
      <c r="C25" s="7"/>
      <c r="D25" s="5" t="str">
        <f>IFERROR(
    VLOOKUP(
        $A25,
        '[2]Dettaglio SR'!$A$1:$L$501,
        COLUMN(D24),
        FALSE
    ),
    ""
)</f>
        <v/>
      </c>
      <c r="E25" s="5" t="str">
        <f>IFERROR(
    VLOOKUP(
        $A25,
        '[2]Dettaglio SR'!$A$1:$L$501,
        COLUMN(E24),
        FALSE
    ),
    ""
)</f>
        <v/>
      </c>
      <c r="F25" s="5" t="str">
        <f>IFERROR(
    VLOOKUP(
        $A25,
        '[2]Dettaglio SR'!$A$1:$L$501,
        COLUMN(F24),
        FALSE
    ),
    ""
)</f>
        <v/>
      </c>
      <c r="G25" s="5" t="str">
        <f>IFERROR(
    VLOOKUP(
        $A25,
        '[2]Dettaglio SR'!$A$1:$L$501,
        COLUMN(G24),
        FALSE
    ),
    ""
)</f>
        <v/>
      </c>
      <c r="H25" s="23"/>
      <c r="I25" s="5" t="str">
        <f>IFERROR(
    VLOOKUP(
        $A25,
        '[2]Dettaglio SR'!$A$1:$L$501,
        COLUMN(K24),
        FALSE
    ),
    ""
)</f>
        <v/>
      </c>
      <c r="O25" s="12" t="s">
        <v>56</v>
      </c>
    </row>
    <row r="26" spans="1:15" x14ac:dyDescent="0.3">
      <c r="A26" s="18"/>
      <c r="B26" s="5" t="str">
        <f>IFERROR(VLOOKUP($A26, '[2]Dettaglio SR'!$A$1:$L$501, 2, FALSE), "")</f>
        <v/>
      </c>
      <c r="C26" s="7"/>
      <c r="D26" s="5" t="str">
        <f>IFERROR(
    VLOOKUP(
        $A26,
        '[2]Dettaglio SR'!$A$1:$L$501,
        COLUMN(D25),
        FALSE
    ),
    ""
)</f>
        <v/>
      </c>
      <c r="E26" s="5" t="str">
        <f>IFERROR(
    VLOOKUP(
        $A26,
        '[2]Dettaglio SR'!$A$1:$L$501,
        COLUMN(E25),
        FALSE
    ),
    ""
)</f>
        <v/>
      </c>
      <c r="F26" s="5" t="str">
        <f>IFERROR(
    VLOOKUP(
        $A26,
        '[2]Dettaglio SR'!$A$1:$L$501,
        COLUMN(F25),
        FALSE
    ),
    ""
)</f>
        <v/>
      </c>
      <c r="G26" s="5" t="str">
        <f>IFERROR(
    VLOOKUP(
        $A26,
        '[2]Dettaglio SR'!$A$1:$L$501,
        COLUMN(G25),
        FALSE
    ),
    ""
)</f>
        <v/>
      </c>
      <c r="H26" s="23"/>
      <c r="I26" s="5" t="str">
        <f>IFERROR(
    VLOOKUP(
        $A26,
        '[2]Dettaglio SR'!$A$1:$L$501,
        COLUMN(K25),
        FALSE
    ),
    ""
)</f>
        <v/>
      </c>
      <c r="O26" s="12" t="s">
        <v>57</v>
      </c>
    </row>
    <row r="27" spans="1:15" x14ac:dyDescent="0.3">
      <c r="A27" s="18"/>
      <c r="B27" s="5" t="str">
        <f>IFERROR(VLOOKUP($A27, '[2]Dettaglio SR'!$A$1:$L$501, 2, FALSE), "")</f>
        <v/>
      </c>
      <c r="C27" s="7"/>
      <c r="D27" s="5" t="str">
        <f>IFERROR(
    VLOOKUP(
        $A27,
        '[2]Dettaglio SR'!$A$1:$L$501,
        COLUMN(D26),
        FALSE
    ),
    ""
)</f>
        <v/>
      </c>
      <c r="E27" s="5" t="str">
        <f>IFERROR(
    VLOOKUP(
        $A27,
        '[2]Dettaglio SR'!$A$1:$L$501,
        COLUMN(E26),
        FALSE
    ),
    ""
)</f>
        <v/>
      </c>
      <c r="F27" s="5" t="str">
        <f>IFERROR(
    VLOOKUP(
        $A27,
        '[2]Dettaglio SR'!$A$1:$L$501,
        COLUMN(F26),
        FALSE
    ),
    ""
)</f>
        <v/>
      </c>
      <c r="G27" s="5" t="str">
        <f>IFERROR(
    VLOOKUP(
        $A27,
        '[2]Dettaglio SR'!$A$1:$L$501,
        COLUMN(G26),
        FALSE
    ),
    ""
)</f>
        <v/>
      </c>
      <c r="H27" s="23"/>
      <c r="I27" s="5" t="str">
        <f>IFERROR(
    VLOOKUP(
        $A27,
        '[2]Dettaglio SR'!$A$1:$L$501,
        COLUMN(K26),
        FALSE
    ),
    ""
)</f>
        <v/>
      </c>
      <c r="O27" s="12" t="s">
        <v>58</v>
      </c>
    </row>
    <row r="28" spans="1:15" x14ac:dyDescent="0.3">
      <c r="A28" s="18"/>
      <c r="B28" s="5" t="str">
        <f>IFERROR(VLOOKUP($A28, '[2]Dettaglio SR'!$A$1:$L$501, 2, FALSE), "")</f>
        <v/>
      </c>
      <c r="C28" s="7"/>
      <c r="D28" s="5" t="str">
        <f>IFERROR(
    VLOOKUP(
        $A28,
        '[2]Dettaglio SR'!$A$1:$L$501,
        COLUMN(D27),
        FALSE
    ),
    ""
)</f>
        <v/>
      </c>
      <c r="E28" s="5" t="str">
        <f>IFERROR(
    VLOOKUP(
        $A28,
        '[2]Dettaglio SR'!$A$1:$L$501,
        COLUMN(E27),
        FALSE
    ),
    ""
)</f>
        <v/>
      </c>
      <c r="F28" s="5" t="str">
        <f>IFERROR(
    VLOOKUP(
        $A28,
        '[2]Dettaglio SR'!$A$1:$L$501,
        COLUMN(F27),
        FALSE
    ),
    ""
)</f>
        <v/>
      </c>
      <c r="G28" s="5" t="str">
        <f>IFERROR(
    VLOOKUP(
        $A28,
        '[2]Dettaglio SR'!$A$1:$L$501,
        COLUMN(G27),
        FALSE
    ),
    ""
)</f>
        <v/>
      </c>
      <c r="H28" s="23"/>
      <c r="I28" s="5" t="str">
        <f>IFERROR(
    VLOOKUP(
        $A28,
        '[2]Dettaglio SR'!$A$1:$L$501,
        COLUMN(K27),
        FALSE
    ),
    ""
)</f>
        <v/>
      </c>
      <c r="O28" s="12" t="s">
        <v>59</v>
      </c>
    </row>
    <row r="29" spans="1:15" x14ac:dyDescent="0.3">
      <c r="A29" s="18"/>
      <c r="B29" s="5" t="str">
        <f>IFERROR(VLOOKUP($A29, '[2]Dettaglio SR'!$A$1:$L$501, 2, FALSE), "")</f>
        <v/>
      </c>
      <c r="C29" s="7"/>
      <c r="D29" s="5" t="str">
        <f>IFERROR(
    VLOOKUP(
        $A29,
        '[2]Dettaglio SR'!$A$1:$L$501,
        COLUMN(D28),
        FALSE
    ),
    ""
)</f>
        <v/>
      </c>
      <c r="E29" s="5" t="str">
        <f>IFERROR(
    VLOOKUP(
        $A29,
        '[2]Dettaglio SR'!$A$1:$L$501,
        COLUMN(E28),
        FALSE
    ),
    ""
)</f>
        <v/>
      </c>
      <c r="F29" s="5" t="str">
        <f>IFERROR(
    VLOOKUP(
        $A29,
        '[2]Dettaglio SR'!$A$1:$L$501,
        COLUMN(F28),
        FALSE
    ),
    ""
)</f>
        <v/>
      </c>
      <c r="G29" s="5" t="str">
        <f>IFERROR(
    VLOOKUP(
        $A29,
        '[2]Dettaglio SR'!$A$1:$L$501,
        COLUMN(G28),
        FALSE
    ),
    ""
)</f>
        <v/>
      </c>
      <c r="H29" s="23"/>
      <c r="I29" s="5" t="str">
        <f>IFERROR(
    VLOOKUP(
        $A29,
        '[2]Dettaglio SR'!$A$1:$L$501,
        COLUMN(K28),
        FALSE
    ),
    ""
)</f>
        <v/>
      </c>
      <c r="O29" s="12" t="s">
        <v>60</v>
      </c>
    </row>
    <row r="30" spans="1:15" x14ac:dyDescent="0.3">
      <c r="A30" s="18"/>
      <c r="B30" s="5" t="str">
        <f>IFERROR(VLOOKUP($A30, '[2]Dettaglio SR'!$A$1:$L$501, 2, FALSE), "")</f>
        <v/>
      </c>
      <c r="C30" s="7"/>
      <c r="D30" s="5" t="str">
        <f>IFERROR(
    VLOOKUP(
        $A30,
        '[2]Dettaglio SR'!$A$1:$L$501,
        COLUMN(D29),
        FALSE
    ),
    ""
)</f>
        <v/>
      </c>
      <c r="E30" s="5" t="str">
        <f>IFERROR(
    VLOOKUP(
        $A30,
        '[2]Dettaglio SR'!$A$1:$L$501,
        COLUMN(E29),
        FALSE
    ),
    ""
)</f>
        <v/>
      </c>
      <c r="F30" s="5" t="str">
        <f>IFERROR(
    VLOOKUP(
        $A30,
        '[2]Dettaglio SR'!$A$1:$L$501,
        COLUMN(F29),
        FALSE
    ),
    ""
)</f>
        <v/>
      </c>
      <c r="G30" s="5" t="str">
        <f>IFERROR(
    VLOOKUP(
        $A30,
        '[2]Dettaglio SR'!$A$1:$L$501,
        COLUMN(G29),
        FALSE
    ),
    ""
)</f>
        <v/>
      </c>
      <c r="H30" s="23"/>
      <c r="I30" s="5" t="str">
        <f>IFERROR(
    VLOOKUP(
        $A30,
        '[2]Dettaglio SR'!$A$1:$L$501,
        COLUMN(K29),
        FALSE
    ),
    ""
)</f>
        <v/>
      </c>
      <c r="O30" s="12" t="s">
        <v>29</v>
      </c>
    </row>
    <row r="31" spans="1:15" x14ac:dyDescent="0.3">
      <c r="A31" s="18"/>
      <c r="B31" s="5" t="str">
        <f>IFERROR(VLOOKUP($A31, '[2]Dettaglio SR'!$A$1:$L$501, 2, FALSE), "")</f>
        <v/>
      </c>
      <c r="C31" s="7"/>
      <c r="D31" s="5" t="str">
        <f>IFERROR(
    VLOOKUP(
        $A31,
        '[2]Dettaglio SR'!$A$1:$L$501,
        COLUMN(D30),
        FALSE
    ),
    ""
)</f>
        <v/>
      </c>
      <c r="E31" s="5" t="str">
        <f>IFERROR(
    VLOOKUP(
        $A31,
        '[2]Dettaglio SR'!$A$1:$L$501,
        COLUMN(E30),
        FALSE
    ),
    ""
)</f>
        <v/>
      </c>
      <c r="F31" s="5" t="str">
        <f>IFERROR(
    VLOOKUP(
        $A31,
        '[2]Dettaglio SR'!$A$1:$L$501,
        COLUMN(F30),
        FALSE
    ),
    ""
)</f>
        <v/>
      </c>
      <c r="G31" s="5" t="str">
        <f>IFERROR(
    VLOOKUP(
        $A31,
        '[2]Dettaglio SR'!$A$1:$L$501,
        COLUMN(G30),
        FALSE
    ),
    ""
)</f>
        <v/>
      </c>
      <c r="H31" s="23"/>
      <c r="I31" s="5" t="str">
        <f>IFERROR(
    VLOOKUP(
        $A31,
        '[2]Dettaglio SR'!$A$1:$L$501,
        COLUMN(K30),
        FALSE
    ),
    ""
)</f>
        <v/>
      </c>
      <c r="O31" s="12" t="s">
        <v>61</v>
      </c>
    </row>
    <row r="32" spans="1:15" x14ac:dyDescent="0.3">
      <c r="A32" s="18"/>
      <c r="B32" s="5" t="str">
        <f>IFERROR(VLOOKUP($A32, '[2]Dettaglio SR'!$A$1:$L$501, 2, FALSE), "")</f>
        <v/>
      </c>
      <c r="C32" s="7"/>
      <c r="D32" s="5" t="str">
        <f>IFERROR(
    VLOOKUP(
        $A32,
        '[2]Dettaglio SR'!$A$1:$L$501,
        COLUMN(D31),
        FALSE
    ),
    ""
)</f>
        <v/>
      </c>
      <c r="E32" s="5" t="str">
        <f>IFERROR(
    VLOOKUP(
        $A32,
        '[2]Dettaglio SR'!$A$1:$L$501,
        COLUMN(E31),
        FALSE
    ),
    ""
)</f>
        <v/>
      </c>
      <c r="F32" s="5" t="str">
        <f>IFERROR(
    VLOOKUP(
        $A32,
        '[2]Dettaglio SR'!$A$1:$L$501,
        COLUMN(F31),
        FALSE
    ),
    ""
)</f>
        <v/>
      </c>
      <c r="G32" s="5" t="str">
        <f>IFERROR(
    VLOOKUP(
        $A32,
        '[2]Dettaglio SR'!$A$1:$L$501,
        COLUMN(G31),
        FALSE
    ),
    ""
)</f>
        <v/>
      </c>
      <c r="H32" s="23"/>
      <c r="I32" s="5" t="str">
        <f>IFERROR(
    VLOOKUP(
        $A32,
        '[2]Dettaglio SR'!$A$1:$L$501,
        COLUMN(K31),
        FALSE
    ),
    ""
)</f>
        <v/>
      </c>
      <c r="O32" s="12" t="s">
        <v>62</v>
      </c>
    </row>
    <row r="33" spans="1:15" x14ac:dyDescent="0.3">
      <c r="A33" s="18"/>
      <c r="B33" s="5" t="str">
        <f>IFERROR(VLOOKUP($A33, '[2]Dettaglio SR'!$A$1:$L$501, 2, FALSE), "")</f>
        <v/>
      </c>
      <c r="C33" s="7"/>
      <c r="D33" s="5" t="str">
        <f>IFERROR(
    VLOOKUP(
        $A33,
        '[2]Dettaglio SR'!$A$1:$L$501,
        COLUMN(D32),
        FALSE
    ),
    ""
)</f>
        <v/>
      </c>
      <c r="E33" s="5" t="str">
        <f>IFERROR(
    VLOOKUP(
        $A33,
        '[2]Dettaglio SR'!$A$1:$L$501,
        COLUMN(E32),
        FALSE
    ),
    ""
)</f>
        <v/>
      </c>
      <c r="F33" s="5" t="str">
        <f>IFERROR(
    VLOOKUP(
        $A33,
        '[2]Dettaglio SR'!$A$1:$L$501,
        COLUMN(F32),
        FALSE
    ),
    ""
)</f>
        <v/>
      </c>
      <c r="G33" s="5" t="str">
        <f>IFERROR(
    VLOOKUP(
        $A33,
        '[2]Dettaglio SR'!$A$1:$L$501,
        COLUMN(G32),
        FALSE
    ),
    ""
)</f>
        <v/>
      </c>
      <c r="H33" s="23"/>
      <c r="I33" s="5" t="str">
        <f>IFERROR(
    VLOOKUP(
        $A33,
        '[2]Dettaglio SR'!$A$1:$L$501,
        COLUMN(K32),
        FALSE
    ),
    ""
)</f>
        <v/>
      </c>
      <c r="O33" s="12" t="s">
        <v>28</v>
      </c>
    </row>
    <row r="34" spans="1:15" x14ac:dyDescent="0.3">
      <c r="A34" s="18"/>
      <c r="B34" s="5" t="str">
        <f>IFERROR(VLOOKUP($A34, '[2]Dettaglio SR'!$A$1:$L$501, 2, FALSE), "")</f>
        <v/>
      </c>
      <c r="C34" s="7"/>
      <c r="D34" s="5" t="str">
        <f>IFERROR(
    VLOOKUP(
        $A34,
        '[2]Dettaglio SR'!$A$1:$L$501,
        COLUMN(D33),
        FALSE
    ),
    ""
)</f>
        <v/>
      </c>
      <c r="E34" s="5" t="str">
        <f>IFERROR(
    VLOOKUP(
        $A34,
        '[2]Dettaglio SR'!$A$1:$L$501,
        COLUMN(E33),
        FALSE
    ),
    ""
)</f>
        <v/>
      </c>
      <c r="F34" s="5" t="str">
        <f>IFERROR(
    VLOOKUP(
        $A34,
        '[2]Dettaglio SR'!$A$1:$L$501,
        COLUMN(F33),
        FALSE
    ),
    ""
)</f>
        <v/>
      </c>
      <c r="G34" s="5" t="str">
        <f>IFERROR(
    VLOOKUP(
        $A34,
        '[2]Dettaglio SR'!$A$1:$L$501,
        COLUMN(G33),
        FALSE
    ),
    ""
)</f>
        <v/>
      </c>
      <c r="H34" s="23"/>
      <c r="I34" s="5" t="str">
        <f>IFERROR(
    VLOOKUP(
        $A34,
        '[2]Dettaglio SR'!$A$1:$L$501,
        COLUMN(K33),
        FALSE
    ),
    ""
)</f>
        <v/>
      </c>
      <c r="O34" s="12" t="s">
        <v>63</v>
      </c>
    </row>
    <row r="35" spans="1:15" x14ac:dyDescent="0.3">
      <c r="A35" s="18"/>
      <c r="B35" s="5" t="str">
        <f>IFERROR(VLOOKUP($A35, '[2]Dettaglio SR'!$A$1:$L$501, 2, FALSE), "")</f>
        <v/>
      </c>
      <c r="C35" s="7"/>
      <c r="D35" s="5" t="str">
        <f>IFERROR(
    VLOOKUP(
        $A35,
        '[2]Dettaglio SR'!$A$1:$L$501,
        COLUMN(D34),
        FALSE
    ),
    ""
)</f>
        <v/>
      </c>
      <c r="E35" s="5" t="str">
        <f>IFERROR(
    VLOOKUP(
        $A35,
        '[2]Dettaglio SR'!$A$1:$L$501,
        COLUMN(E34),
        FALSE
    ),
    ""
)</f>
        <v/>
      </c>
      <c r="F35" s="5" t="str">
        <f>IFERROR(
    VLOOKUP(
        $A35,
        '[2]Dettaglio SR'!$A$1:$L$501,
        COLUMN(F34),
        FALSE
    ),
    ""
)</f>
        <v/>
      </c>
      <c r="G35" s="5" t="str">
        <f>IFERROR(
    VLOOKUP(
        $A35,
        '[2]Dettaglio SR'!$A$1:$L$501,
        COLUMN(G34),
        FALSE
    ),
    ""
)</f>
        <v/>
      </c>
      <c r="H35" s="23"/>
      <c r="I35" s="5" t="str">
        <f>IFERROR(
    VLOOKUP(
        $A35,
        '[2]Dettaglio SR'!$A$1:$L$501,
        COLUMN(K34),
        FALSE
    ),
    ""
)</f>
        <v/>
      </c>
      <c r="O35" s="12" t="s">
        <v>64</v>
      </c>
    </row>
    <row r="36" spans="1:15" x14ac:dyDescent="0.3">
      <c r="A36" s="18"/>
      <c r="B36" s="5" t="str">
        <f>IFERROR(VLOOKUP($A36, '[2]Dettaglio SR'!$A$1:$L$501, 2, FALSE), "")</f>
        <v/>
      </c>
      <c r="C36" s="7"/>
      <c r="D36" s="5" t="str">
        <f>IFERROR(
    VLOOKUP(
        $A36,
        '[2]Dettaglio SR'!$A$1:$L$501,
        COLUMN(D35),
        FALSE
    ),
    ""
)</f>
        <v/>
      </c>
      <c r="E36" s="5" t="str">
        <f>IFERROR(
    VLOOKUP(
        $A36,
        '[2]Dettaglio SR'!$A$1:$L$501,
        COLUMN(E35),
        FALSE
    ),
    ""
)</f>
        <v/>
      </c>
      <c r="F36" s="5" t="str">
        <f>IFERROR(
    VLOOKUP(
        $A36,
        '[2]Dettaglio SR'!$A$1:$L$501,
        COLUMN(F35),
        FALSE
    ),
    ""
)</f>
        <v/>
      </c>
      <c r="G36" s="5" t="str">
        <f>IFERROR(
    VLOOKUP(
        $A36,
        '[2]Dettaglio SR'!$A$1:$L$501,
        COLUMN(G35),
        FALSE
    ),
    ""
)</f>
        <v/>
      </c>
      <c r="H36" s="23"/>
      <c r="I36" s="5" t="str">
        <f>IFERROR(
    VLOOKUP(
        $A36,
        '[2]Dettaglio SR'!$A$1:$L$501,
        COLUMN(K35),
        FALSE
    ),
    ""
)</f>
        <v/>
      </c>
      <c r="O36" s="12" t="s">
        <v>65</v>
      </c>
    </row>
    <row r="37" spans="1:15" x14ac:dyDescent="0.3">
      <c r="A37" s="18"/>
      <c r="B37" s="5" t="str">
        <f>IFERROR(VLOOKUP($A37, '[2]Dettaglio SR'!$A$1:$L$501, 2, FALSE), "")</f>
        <v/>
      </c>
      <c r="C37" s="7"/>
      <c r="D37" s="5" t="str">
        <f>IFERROR(
    VLOOKUP(
        $A37,
        '[2]Dettaglio SR'!$A$1:$L$501,
        COLUMN(D36),
        FALSE
    ),
    ""
)</f>
        <v/>
      </c>
      <c r="E37" s="5" t="str">
        <f>IFERROR(
    VLOOKUP(
        $A37,
        '[2]Dettaglio SR'!$A$1:$L$501,
        COLUMN(E36),
        FALSE
    ),
    ""
)</f>
        <v/>
      </c>
      <c r="F37" s="5" t="str">
        <f>IFERROR(
    VLOOKUP(
        $A37,
        '[2]Dettaglio SR'!$A$1:$L$501,
        COLUMN(F36),
        FALSE
    ),
    ""
)</f>
        <v/>
      </c>
      <c r="G37" s="5" t="str">
        <f>IFERROR(
    VLOOKUP(
        $A37,
        '[2]Dettaglio SR'!$A$1:$L$501,
        COLUMN(G36),
        FALSE
    ),
    ""
)</f>
        <v/>
      </c>
      <c r="H37" s="23"/>
      <c r="I37" s="5" t="str">
        <f>IFERROR(
    VLOOKUP(
        $A37,
        '[2]Dettaglio SR'!$A$1:$L$501,
        COLUMN(K36),
        FALSE
    ),
    ""
)</f>
        <v/>
      </c>
      <c r="O37" s="12" t="s">
        <v>23</v>
      </c>
    </row>
    <row r="38" spans="1:15" x14ac:dyDescent="0.3">
      <c r="A38" s="18"/>
      <c r="B38" s="5" t="str">
        <f>IFERROR(VLOOKUP($A38, '[2]Dettaglio SR'!$A$1:$L$501, 2, FALSE), "")</f>
        <v/>
      </c>
      <c r="C38" s="7"/>
      <c r="D38" s="5" t="str">
        <f>IFERROR(
    VLOOKUP(
        $A38,
        '[2]Dettaglio SR'!$A$1:$L$501,
        COLUMN(D37),
        FALSE
    ),
    ""
)</f>
        <v/>
      </c>
      <c r="E38" s="5" t="str">
        <f>IFERROR(
    VLOOKUP(
        $A38,
        '[2]Dettaglio SR'!$A$1:$L$501,
        COLUMN(E37),
        FALSE
    ),
    ""
)</f>
        <v/>
      </c>
      <c r="F38" s="5" t="str">
        <f>IFERROR(
    VLOOKUP(
        $A38,
        '[2]Dettaglio SR'!$A$1:$L$501,
        COLUMN(F37),
        FALSE
    ),
    ""
)</f>
        <v/>
      </c>
      <c r="G38" s="5" t="str">
        <f>IFERROR(
    VLOOKUP(
        $A38,
        '[2]Dettaglio SR'!$A$1:$L$501,
        COLUMN(G37),
        FALSE
    ),
    ""
)</f>
        <v/>
      </c>
      <c r="H38" s="23"/>
      <c r="I38" s="5" t="str">
        <f>IFERROR(
    VLOOKUP(
        $A38,
        '[2]Dettaglio SR'!$A$1:$L$501,
        COLUMN(K37),
        FALSE
    ),
    ""
)</f>
        <v/>
      </c>
      <c r="O38" s="12" t="s">
        <v>66</v>
      </c>
    </row>
    <row r="39" spans="1:15" x14ac:dyDescent="0.3">
      <c r="A39" s="18"/>
      <c r="B39" s="5" t="str">
        <f>IFERROR(VLOOKUP($A39, '[2]Dettaglio SR'!$A$1:$L$501, 2, FALSE), "")</f>
        <v/>
      </c>
      <c r="C39" s="7"/>
      <c r="D39" s="5" t="str">
        <f>IFERROR(
    VLOOKUP(
        $A39,
        '[2]Dettaglio SR'!$A$1:$L$501,
        COLUMN(D38),
        FALSE
    ),
    ""
)</f>
        <v/>
      </c>
      <c r="E39" s="5" t="str">
        <f>IFERROR(
    VLOOKUP(
        $A39,
        '[2]Dettaglio SR'!$A$1:$L$501,
        COLUMN(E38),
        FALSE
    ),
    ""
)</f>
        <v/>
      </c>
      <c r="F39" s="5" t="str">
        <f>IFERROR(
    VLOOKUP(
        $A39,
        '[2]Dettaglio SR'!$A$1:$L$501,
        COLUMN(F38),
        FALSE
    ),
    ""
)</f>
        <v/>
      </c>
      <c r="G39" s="5" t="str">
        <f>IFERROR(
    VLOOKUP(
        $A39,
        '[2]Dettaglio SR'!$A$1:$L$501,
        COLUMN(G38),
        FALSE
    ),
    ""
)</f>
        <v/>
      </c>
      <c r="H39" s="23"/>
      <c r="I39" s="5" t="str">
        <f>IFERROR(
    VLOOKUP(
        $A39,
        '[2]Dettaglio SR'!$A$1:$L$501,
        COLUMN(K38),
        FALSE
    ),
    ""
)</f>
        <v/>
      </c>
      <c r="O39" s="12" t="s">
        <v>67</v>
      </c>
    </row>
    <row r="40" spans="1:15" x14ac:dyDescent="0.3">
      <c r="A40" s="18"/>
      <c r="B40" s="5" t="str">
        <f>IFERROR(VLOOKUP($A40, '[2]Dettaglio SR'!$A$1:$L$501, 2, FALSE), "")</f>
        <v/>
      </c>
      <c r="C40" s="7"/>
      <c r="D40" s="5" t="str">
        <f>IFERROR(
    VLOOKUP(
        $A40,
        '[2]Dettaglio SR'!$A$1:$L$501,
        COLUMN(D39),
        FALSE
    ),
    ""
)</f>
        <v/>
      </c>
      <c r="E40" s="5" t="str">
        <f>IFERROR(
    VLOOKUP(
        $A40,
        '[2]Dettaglio SR'!$A$1:$L$501,
        COLUMN(E39),
        FALSE
    ),
    ""
)</f>
        <v/>
      </c>
      <c r="F40" s="5" t="str">
        <f>IFERROR(
    VLOOKUP(
        $A40,
        '[2]Dettaglio SR'!$A$1:$L$501,
        COLUMN(F39),
        FALSE
    ),
    ""
)</f>
        <v/>
      </c>
      <c r="G40" s="5" t="str">
        <f>IFERROR(
    VLOOKUP(
        $A40,
        '[2]Dettaglio SR'!$A$1:$L$501,
        COLUMN(G39),
        FALSE
    ),
    ""
)</f>
        <v/>
      </c>
      <c r="H40" s="23"/>
      <c r="I40" s="5" t="str">
        <f>IFERROR(
    VLOOKUP(
        $A40,
        '[2]Dettaglio SR'!$A$1:$L$501,
        COLUMN(K39),
        FALSE
    ),
    ""
)</f>
        <v/>
      </c>
      <c r="O40" s="12" t="s">
        <v>68</v>
      </c>
    </row>
    <row r="41" spans="1:15" x14ac:dyDescent="0.3">
      <c r="A41" s="18"/>
      <c r="O41" s="12" t="s">
        <v>69</v>
      </c>
    </row>
    <row r="42" spans="1:15" x14ac:dyDescent="0.3">
      <c r="A42" s="18"/>
      <c r="O42" s="12" t="s">
        <v>70</v>
      </c>
    </row>
    <row r="43" spans="1:15" x14ac:dyDescent="0.3">
      <c r="A43" s="18"/>
      <c r="O43" s="12" t="s">
        <v>71</v>
      </c>
    </row>
    <row r="44" spans="1:15" x14ac:dyDescent="0.3">
      <c r="A44" s="18"/>
      <c r="O44" s="12" t="s">
        <v>72</v>
      </c>
    </row>
    <row r="45" spans="1:15" x14ac:dyDescent="0.3">
      <c r="A45" s="18"/>
      <c r="O45" s="12" t="s">
        <v>73</v>
      </c>
    </row>
    <row r="46" spans="1:15" x14ac:dyDescent="0.3">
      <c r="A46" s="18"/>
      <c r="O46" s="12" t="s">
        <v>74</v>
      </c>
    </row>
    <row r="47" spans="1:15" x14ac:dyDescent="0.3">
      <c r="A47" s="18"/>
      <c r="O47" s="12" t="s">
        <v>75</v>
      </c>
    </row>
    <row r="48" spans="1:15" x14ac:dyDescent="0.3">
      <c r="A48" s="18"/>
      <c r="O48" s="12" t="s">
        <v>76</v>
      </c>
    </row>
    <row r="49" spans="1:15" x14ac:dyDescent="0.3">
      <c r="A49" s="18"/>
      <c r="O49" s="12" t="s">
        <v>34</v>
      </c>
    </row>
    <row r="50" spans="1:15" x14ac:dyDescent="0.3">
      <c r="A50" s="18"/>
      <c r="O50" s="12" t="s">
        <v>46</v>
      </c>
    </row>
    <row r="51" spans="1:15" x14ac:dyDescent="0.3">
      <c r="A51" s="18"/>
      <c r="O51" s="12" t="s">
        <v>77</v>
      </c>
    </row>
    <row r="52" spans="1:15" x14ac:dyDescent="0.3">
      <c r="A52" s="18"/>
      <c r="O52" s="12" t="s">
        <v>78</v>
      </c>
    </row>
    <row r="53" spans="1:15" x14ac:dyDescent="0.3">
      <c r="A53" s="18"/>
      <c r="O53" s="12" t="s">
        <v>40</v>
      </c>
    </row>
    <row r="54" spans="1:15" x14ac:dyDescent="0.3">
      <c r="A54" s="18"/>
      <c r="O54" s="12" t="s">
        <v>79</v>
      </c>
    </row>
    <row r="55" spans="1:15" x14ac:dyDescent="0.3">
      <c r="A55" s="18"/>
      <c r="O55" s="12" t="s">
        <v>42</v>
      </c>
    </row>
    <row r="56" spans="1:15" x14ac:dyDescent="0.3">
      <c r="O56" s="12" t="s">
        <v>80</v>
      </c>
    </row>
    <row r="57" spans="1:15" x14ac:dyDescent="0.3">
      <c r="O57" s="12" t="s">
        <v>81</v>
      </c>
    </row>
    <row r="58" spans="1:15" x14ac:dyDescent="0.3">
      <c r="O58" s="12" t="s">
        <v>82</v>
      </c>
    </row>
    <row r="59" spans="1:15" x14ac:dyDescent="0.3">
      <c r="O59" s="12" t="s">
        <v>32</v>
      </c>
    </row>
    <row r="60" spans="1:15" x14ac:dyDescent="0.3">
      <c r="O60" s="12" t="s">
        <v>83</v>
      </c>
    </row>
    <row r="61" spans="1:15" x14ac:dyDescent="0.3">
      <c r="O61" s="12" t="s">
        <v>84</v>
      </c>
    </row>
    <row r="62" spans="1:15" x14ac:dyDescent="0.3">
      <c r="O62" s="12" t="s">
        <v>36</v>
      </c>
    </row>
    <row r="63" spans="1:15" x14ac:dyDescent="0.3">
      <c r="O63" s="12" t="s">
        <v>85</v>
      </c>
    </row>
  </sheetData>
  <mergeCells count="1">
    <mergeCell ref="A1:K1"/>
  </mergeCells>
  <conditionalFormatting sqref="A3:G3 B4:G40">
    <cfRule type="notContainsBlanks" dxfId="38" priority="4">
      <formula>LEN(TRIM(A3))&gt;0</formula>
    </cfRule>
  </conditionalFormatting>
  <conditionalFormatting sqref="A1:K2 I3:K40 A4:A42 B41:K42 A43:K1048576">
    <cfRule type="notContainsBlanks" dxfId="37" priority="19">
      <formula>LEN(TRIM(A1))&gt;0</formula>
    </cfRule>
  </conditionalFormatting>
  <conditionalFormatting sqref="H2">
    <cfRule type="containsText" dxfId="36" priority="41" operator="containsText" text="in corso">
      <formula>NOT(ISERROR(SEARCH("in corso",H2)))</formula>
    </cfRule>
    <cfRule type="containsText" dxfId="35" priority="40" operator="containsText" text="annullato">
      <formula>NOT(ISERROR(SEARCH("annullato",H2)))</formula>
    </cfRule>
    <cfRule type="containsText" dxfId="34" priority="39" operator="containsText" text="OK">
      <formula>NOT(ISERROR(SEARCH("OK",H2)))</formula>
    </cfRule>
    <cfRule type="containsText" dxfId="33" priority="38" operator="containsText" text="KO">
      <formula>NOT(ISERROR(SEARCH("KO",H2)))</formula>
    </cfRule>
    <cfRule type="containsText" dxfId="32" priority="37" operator="containsText" text="in corso">
      <formula>NOT(ISERROR(SEARCH("in corso",H2)))</formula>
    </cfRule>
    <cfRule type="containsText" dxfId="31" priority="36" operator="containsText" text="annullato">
      <formula>NOT(ISERROR(SEARCH("annullato",H2)))</formula>
    </cfRule>
    <cfRule type="containsText" dxfId="30" priority="42" operator="containsText" text="KO">
      <formula>NOT(ISERROR(SEARCH("KO",H2)))</formula>
    </cfRule>
    <cfRule type="containsText" dxfId="29" priority="43" operator="containsText" text="OK">
      <formula>NOT(ISERROR(SEARCH("OK",H2)))</formula>
    </cfRule>
  </conditionalFormatting>
  <conditionalFormatting sqref="H3:H6 H9:H17">
    <cfRule type="notContainsBlanks" dxfId="28" priority="1">
      <formula>LEN(TRIM(H3))&gt;0</formula>
    </cfRule>
  </conditionalFormatting>
  <conditionalFormatting sqref="J11">
    <cfRule type="containsText" dxfId="27" priority="9" operator="containsText" text="KO">
      <formula>NOT(ISERROR(SEARCH("KO",J11)))</formula>
    </cfRule>
    <cfRule type="containsText" dxfId="26" priority="10" operator="containsText" text="OK">
      <formula>NOT(ISERROR(SEARCH("OK",J11)))</formula>
    </cfRule>
    <cfRule type="containsText" dxfId="25" priority="11" operator="containsText" text="annullato">
      <formula>NOT(ISERROR(SEARCH("annullato",J11)))</formula>
    </cfRule>
    <cfRule type="containsText" dxfId="24" priority="12" operator="containsText" text="in corso">
      <formula>NOT(ISERROR(SEARCH("in corso",J11)))</formula>
    </cfRule>
    <cfRule type="containsText" dxfId="23" priority="13" operator="containsText" text="KO">
      <formula>NOT(ISERROR(SEARCH("KO",J11)))</formula>
    </cfRule>
    <cfRule type="containsText" dxfId="22" priority="14" operator="containsText" text="OK">
      <formula>NOT(ISERROR(SEARCH("OK",J11)))</formula>
    </cfRule>
  </conditionalFormatting>
  <conditionalFormatting sqref="J2:K2">
    <cfRule type="containsText" dxfId="21" priority="24" operator="containsText" text="KO">
      <formula>NOT(ISERROR(SEARCH("KO",J2)))</formula>
    </cfRule>
    <cfRule type="containsText" dxfId="20" priority="25" operator="containsText" text="OK">
      <formula>NOT(ISERROR(SEARCH("OK",J2)))</formula>
    </cfRule>
    <cfRule type="containsText" dxfId="19" priority="26" operator="containsText" text="annullato">
      <formula>NOT(ISERROR(SEARCH("annullato",J2)))</formula>
    </cfRule>
    <cfRule type="containsText" dxfId="18" priority="27" operator="containsText" text="in corso">
      <formula>NOT(ISERROR(SEARCH("in corso",J2)))</formula>
    </cfRule>
    <cfRule type="containsText" dxfId="17" priority="22" operator="containsText" text="annullato">
      <formula>NOT(ISERROR(SEARCH("annullato",J2)))</formula>
    </cfRule>
    <cfRule type="containsText" dxfId="16" priority="23" operator="containsText" text="in corso">
      <formula>NOT(ISERROR(SEARCH("in corso",J2)))</formula>
    </cfRule>
  </conditionalFormatting>
  <conditionalFormatting sqref="J2:K10">
    <cfRule type="containsText" dxfId="15" priority="34" operator="containsText" text="KO">
      <formula>NOT(ISERROR(SEARCH("KO",J2)))</formula>
    </cfRule>
    <cfRule type="containsText" dxfId="14" priority="35" operator="containsText" text="OK">
      <formula>NOT(ISERROR(SEARCH("OK",J2)))</formula>
    </cfRule>
  </conditionalFormatting>
  <conditionalFormatting sqref="J3:K10">
    <cfRule type="containsText" dxfId="13" priority="47" operator="containsText" text="annullato">
      <formula>NOT(ISERROR(SEARCH("annullato",J3)))</formula>
    </cfRule>
    <cfRule type="containsText" dxfId="12" priority="48" operator="containsText" text="in corso">
      <formula>NOT(ISERROR(SEARCH("in corso",J3)))</formula>
    </cfRule>
    <cfRule type="containsText" dxfId="11" priority="49" operator="containsText" text="KO">
      <formula>NOT(ISERROR(SEARCH("KO",J3)))</formula>
    </cfRule>
    <cfRule type="containsText" dxfId="10" priority="50" operator="containsText" text="OK">
      <formula>NOT(ISERROR(SEARCH("OK",J3)))</formula>
    </cfRule>
  </conditionalFormatting>
  <conditionalFormatting sqref="K2">
    <cfRule type="containsText" dxfId="9" priority="32" operator="containsText" text="annullato">
      <formula>NOT(ISERROR(SEARCH("annullato",K2)))</formula>
    </cfRule>
    <cfRule type="containsText" dxfId="8" priority="33" operator="containsText" text="in corso">
      <formula>NOT(ISERROR(SEARCH("in corso",K2)))</formula>
    </cfRule>
    <cfRule type="containsText" dxfId="7" priority="30" operator="containsText" text="KO">
      <formula>NOT(ISERROR(SEARCH("KO",K2)))</formula>
    </cfRule>
    <cfRule type="containsText" dxfId="6" priority="31" operator="containsText" text="OK">
      <formula>NOT(ISERROR(SEARCH("OK",K2)))</formula>
    </cfRule>
  </conditionalFormatting>
  <conditionalFormatting sqref="O3:O14">
    <cfRule type="duplicateValues" dxfId="5" priority="16"/>
  </conditionalFormatting>
  <conditionalFormatting sqref="O3:O63">
    <cfRule type="duplicateValues" dxfId="4" priority="17"/>
  </conditionalFormatting>
  <conditionalFormatting sqref="O15:O27">
    <cfRule type="duplicateValues" dxfId="3" priority="18"/>
  </conditionalFormatting>
  <conditionalFormatting sqref="O41">
    <cfRule type="containsErrors" dxfId="2" priority="15">
      <formula>ISERROR(O41)</formula>
    </cfRule>
  </conditionalFormatting>
  <conditionalFormatting sqref="P2">
    <cfRule type="duplicateValues" dxfId="1" priority="21"/>
    <cfRule type="containsErrors" dxfId="0" priority="20">
      <formula>ISERROR(P2)</formula>
    </cfRule>
  </conditionalFormatting>
  <dataValidations count="3">
    <dataValidation type="list" allowBlank="1" showInputMessage="1" showErrorMessage="1" sqref="J3:J11" xr:uid="{5947AE02-11E4-4C5B-81FA-17BA3BBE0671}">
      <formula1>$P$3:$P$6</formula1>
    </dataValidation>
    <dataValidation type="list" allowBlank="1" showInputMessage="1" showErrorMessage="1" sqref="K3:K10" xr:uid="{FD0BA288-8233-4B7B-9720-79DF089CBCF4}">
      <formula1>#REF!</formula1>
    </dataValidation>
    <dataValidation type="list" allowBlank="1" showInputMessage="1" showErrorMessage="1" sqref="A3:A55" xr:uid="{6CAAE987-04BA-4D63-9E39-0E7360147161}">
      <formula1>$O$3:$O$63</formula1>
    </dataValidation>
  </dataValidations>
  <hyperlinks>
    <hyperlink ref="O8" r:id="rId1" display="Connect@" xr:uid="{CB7F6AFB-3FEE-4A93-90D4-FB6557324885}"/>
  </hyperlinks>
  <pageMargins left="0.7" right="0.7" top="0.75" bottom="0.75" header="0.3" footer="0.3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67D86-CFA0-430F-AC27-1137410B2DFA}">
  <dimension ref="A1:C25"/>
  <sheetViews>
    <sheetView workbookViewId="0">
      <selection activeCell="A3" sqref="A3"/>
    </sheetView>
  </sheetViews>
  <sheetFormatPr defaultRowHeight="14.4" x14ac:dyDescent="0.3"/>
  <cols>
    <col min="1" max="1" width="175.77734375" customWidth="1"/>
    <col min="2" max="2" width="53.44140625" customWidth="1"/>
    <col min="3" max="3" width="49.44140625" customWidth="1"/>
  </cols>
  <sheetData>
    <row r="1" spans="1:3" x14ac:dyDescent="0.3">
      <c r="A1" s="10" t="s">
        <v>86</v>
      </c>
    </row>
    <row r="2" spans="1:3" ht="138" customHeight="1" x14ac:dyDescent="0.3">
      <c r="A2" s="41" t="s">
        <v>355</v>
      </c>
    </row>
    <row r="3" spans="1:3" x14ac:dyDescent="0.3">
      <c r="A3" t="str" cm="1">
        <f t="array" ref="A3:A16">_xlfn.TEXTSPLIT(TRIM(_xlfn.REDUCE(A2, {0;1;2;3;4;5;6;7;8;9}, _xlfn.LAMBDA(_xlpm.a,_xlpm.b, SUBSTITUTE(_xlpm.a, " - C" &amp; _xlpm.b, "###C" &amp; _xlpm.b)))), , "###")</f>
        <v>C20260806_0083 INTEGRAZIONE</v>
      </c>
      <c r="B3" t="str">
        <f t="shared" ref="B3" si="0">_xlfn.TEXTBEFORE(A3, " ")</f>
        <v>C20260806_0083</v>
      </c>
      <c r="C3" t="str">
        <f t="shared" ref="C3" si="1">_xlfn.LET(_xlpm.testo, _xlfn.TEXTAFTER(A3, " "), IF(RIGHT(_xlpm.testo, 1)="-", TRIM(LEFT(_xlpm.testo, LEN(_xlpm.testo)-1)), _xlpm.testo))</f>
        <v>INTEGRAZIONE</v>
      </c>
    </row>
    <row r="4" spans="1:3" x14ac:dyDescent="0.3">
      <c r="A4" t="str">
        <v>C20260814_0040 SINISTRI WEB</v>
      </c>
      <c r="B4" t="str">
        <f t="shared" ref="B4:B19" si="2">_xlfn.TEXTBEFORE(A4, " ")</f>
        <v>C20260814_0040</v>
      </c>
      <c r="C4" t="str">
        <f t="shared" ref="C4:C19" si="3">_xlfn.LET(_xlpm.testo, _xlfn.TEXTAFTER(A4, " "), IF(RIGHT(_xlpm.testo, 1)="-", TRIM(LEFT(_xlpm.testo, LEN(_xlpm.testo)-1)), _xlpm.testo))</f>
        <v>SINISTRI WEB</v>
      </c>
    </row>
    <row r="5" spans="1:3" x14ac:dyDescent="0.3">
      <c r="A5" t="str">
        <v>C20260817_0020 RIBES</v>
      </c>
      <c r="B5" t="str">
        <f t="shared" si="2"/>
        <v>C20260817_0020</v>
      </c>
      <c r="C5" t="str">
        <f t="shared" si="3"/>
        <v>RIBES</v>
      </c>
    </row>
    <row r="6" spans="1:3" x14ac:dyDescent="0.3">
      <c r="A6" t="str">
        <v>C20260820_0013 API</v>
      </c>
      <c r="B6" t="str">
        <f t="shared" si="2"/>
        <v>C20260820_0013</v>
      </c>
      <c r="C6" t="str">
        <f t="shared" si="3"/>
        <v>API</v>
      </c>
    </row>
    <row r="7" spans="1:3" x14ac:dyDescent="0.3">
      <c r="A7" t="str">
        <v>C20260820_0046 PASS MULTICANALITÀ</v>
      </c>
      <c r="B7" t="str">
        <f t="shared" si="2"/>
        <v>C20260820_0046</v>
      </c>
      <c r="C7" t="str">
        <f t="shared" si="3"/>
        <v>PASS MULTICANALITÀ</v>
      </c>
    </row>
    <row r="8" spans="1:3" x14ac:dyDescent="0.3">
      <c r="A8" t="str">
        <v>C20260821_0008 SIGEA SINISTRI</v>
      </c>
      <c r="B8" t="str">
        <f t="shared" si="2"/>
        <v>C20260821_0008</v>
      </c>
      <c r="C8" t="str">
        <f t="shared" si="3"/>
        <v>SIGEA SINISTRI</v>
      </c>
    </row>
    <row r="9" spans="1:3" x14ac:dyDescent="0.3">
      <c r="A9" t="str">
        <v>C20260821_0020 VITES</v>
      </c>
      <c r="B9" t="str">
        <f t="shared" si="2"/>
        <v>C20260821_0020</v>
      </c>
      <c r="C9" t="str">
        <f t="shared" si="3"/>
        <v>VITES</v>
      </c>
    </row>
    <row r="10" spans="1:3" x14ac:dyDescent="0.3">
      <c r="A10" t="str">
        <v>C20260821_0028 OMNIAINSURANCE</v>
      </c>
      <c r="B10" t="str">
        <f t="shared" si="2"/>
        <v>C20260821_0028</v>
      </c>
      <c r="C10" t="str">
        <f t="shared" si="3"/>
        <v>OMNIAINSURANCE</v>
      </c>
    </row>
    <row r="11" spans="1:3" x14ac:dyDescent="0.3">
      <c r="A11" t="str">
        <v>C20260821_0043 PASS AUTO</v>
      </c>
      <c r="B11" t="str">
        <f t="shared" si="2"/>
        <v>C20260821_0043</v>
      </c>
      <c r="C11" t="str">
        <f t="shared" si="3"/>
        <v>PASS AUTO</v>
      </c>
    </row>
    <row r="12" spans="1:3" x14ac:dyDescent="0.3">
      <c r="A12" t="str">
        <v>C20260821_0045 ANAGRAFE WEB</v>
      </c>
      <c r="B12" t="str">
        <f t="shared" si="2"/>
        <v>C20260821_0045</v>
      </c>
      <c r="C12" t="str">
        <f t="shared" si="3"/>
        <v>ANAGRAFE WEB</v>
      </c>
    </row>
    <row r="13" spans="1:3" x14ac:dyDescent="0.3">
      <c r="A13" t="str">
        <v>C20260821_0050 DOCUMENTALE PORTAFOGLIO</v>
      </c>
      <c r="B13" t="str">
        <f t="shared" si="2"/>
        <v>C20260821_0050</v>
      </c>
      <c r="C13" t="str">
        <f t="shared" si="3"/>
        <v>DOCUMENTALE PORTAFOGLIO</v>
      </c>
    </row>
    <row r="14" spans="1:3" x14ac:dyDescent="0.3">
      <c r="A14" t="str">
        <v>C20260821_0053 AIA</v>
      </c>
      <c r="B14" t="str">
        <f t="shared" si="2"/>
        <v>C20260821_0053</v>
      </c>
      <c r="C14" t="str">
        <f t="shared" si="3"/>
        <v>AIA</v>
      </c>
    </row>
    <row r="15" spans="1:3" x14ac:dyDescent="0.3">
      <c r="A15" t="str">
        <v>C20260821_0054 ISAAC</v>
      </c>
      <c r="B15" t="str">
        <f t="shared" si="2"/>
        <v>C20260821_0054</v>
      </c>
      <c r="C15" t="str">
        <f t="shared" si="3"/>
        <v>ISAAC</v>
      </c>
    </row>
    <row r="16" spans="1:3" x14ac:dyDescent="0.3">
      <c r="A16" t="str">
        <v>C20260824_0044 SITI ISTITUZIONALI</v>
      </c>
      <c r="B16" t="str">
        <f t="shared" si="2"/>
        <v>C20260824_0044</v>
      </c>
      <c r="C16" t="str">
        <f t="shared" si="3"/>
        <v>SITI ISTITUZIONALI</v>
      </c>
    </row>
    <row r="17" spans="2:3" x14ac:dyDescent="0.3">
      <c r="B17" t="e">
        <f t="shared" si="2"/>
        <v>#N/A</v>
      </c>
      <c r="C17" t="e">
        <f t="shared" si="3"/>
        <v>#N/A</v>
      </c>
    </row>
    <row r="18" spans="2:3" x14ac:dyDescent="0.3">
      <c r="B18" t="e">
        <f t="shared" si="2"/>
        <v>#N/A</v>
      </c>
      <c r="C18" t="e">
        <f t="shared" si="3"/>
        <v>#N/A</v>
      </c>
    </row>
    <row r="19" spans="2:3" x14ac:dyDescent="0.3">
      <c r="B19" t="e">
        <f t="shared" si="2"/>
        <v>#N/A</v>
      </c>
      <c r="C19" t="e">
        <f t="shared" si="3"/>
        <v>#N/A</v>
      </c>
    </row>
    <row r="20" spans="2:3" x14ac:dyDescent="0.3">
      <c r="B20" t="e">
        <f t="shared" ref="B20:B25" si="4">_xlfn.TEXTBEFORE(A20, " ")</f>
        <v>#N/A</v>
      </c>
      <c r="C20" t="e">
        <f t="shared" ref="C20:C25" si="5">_xlfn.LET(_xlpm.testo, _xlfn.TEXTAFTER(A20, " "), IF(RIGHT(_xlpm.testo, 1)="-", TRIM(LEFT(_xlpm.testo, LEN(_xlpm.testo)-1)), _xlpm.testo))</f>
        <v>#N/A</v>
      </c>
    </row>
    <row r="21" spans="2:3" x14ac:dyDescent="0.3">
      <c r="B21" t="e">
        <f t="shared" si="4"/>
        <v>#N/A</v>
      </c>
      <c r="C21" t="e">
        <f t="shared" si="5"/>
        <v>#N/A</v>
      </c>
    </row>
    <row r="22" spans="2:3" x14ac:dyDescent="0.3">
      <c r="B22" t="e">
        <f t="shared" si="4"/>
        <v>#N/A</v>
      </c>
      <c r="C22" t="e">
        <f t="shared" si="5"/>
        <v>#N/A</v>
      </c>
    </row>
    <row r="23" spans="2:3" x14ac:dyDescent="0.3">
      <c r="B23" t="e">
        <f t="shared" si="4"/>
        <v>#N/A</v>
      </c>
      <c r="C23" t="e">
        <f t="shared" si="5"/>
        <v>#N/A</v>
      </c>
    </row>
    <row r="24" spans="2:3" x14ac:dyDescent="0.3">
      <c r="B24" t="e">
        <f t="shared" si="4"/>
        <v>#N/A</v>
      </c>
      <c r="C24" t="e">
        <f t="shared" si="5"/>
        <v>#N/A</v>
      </c>
    </row>
    <row r="25" spans="2:3" x14ac:dyDescent="0.3">
      <c r="B25" t="e">
        <f t="shared" si="4"/>
        <v>#N/A</v>
      </c>
      <c r="C25" t="e">
        <f t="shared" si="5"/>
        <v>#N/A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2514D-A8DC-4DFE-9139-DF77D4B1F6CF}">
  <sheetPr codeName="Foglio3"/>
  <dimension ref="A1:A40"/>
  <sheetViews>
    <sheetView workbookViewId="0">
      <selection sqref="A1:A26"/>
    </sheetView>
  </sheetViews>
  <sheetFormatPr defaultRowHeight="14.4" x14ac:dyDescent="0.3"/>
  <cols>
    <col min="1" max="1" width="147.77734375" customWidth="1"/>
  </cols>
  <sheetData>
    <row r="1" spans="1:1" x14ac:dyDescent="0.3">
      <c r="A1" s="27" t="s">
        <v>223</v>
      </c>
    </row>
    <row r="2" spans="1:1" x14ac:dyDescent="0.3">
      <c r="A2" s="28" t="s">
        <v>224</v>
      </c>
    </row>
    <row r="3" spans="1:1" x14ac:dyDescent="0.3">
      <c r="A3" s="27" t="s">
        <v>225</v>
      </c>
    </row>
    <row r="4" spans="1:1" x14ac:dyDescent="0.3">
      <c r="A4" s="28" t="s">
        <v>226</v>
      </c>
    </row>
    <row r="5" spans="1:1" x14ac:dyDescent="0.3">
      <c r="A5" s="27" t="s">
        <v>227</v>
      </c>
    </row>
    <row r="6" spans="1:1" x14ac:dyDescent="0.3">
      <c r="A6" s="28" t="s">
        <v>228</v>
      </c>
    </row>
    <row r="7" spans="1:1" x14ac:dyDescent="0.3">
      <c r="A7" s="27" t="s">
        <v>229</v>
      </c>
    </row>
    <row r="8" spans="1:1" x14ac:dyDescent="0.3">
      <c r="A8" s="28" t="s">
        <v>230</v>
      </c>
    </row>
    <row r="9" spans="1:1" x14ac:dyDescent="0.3">
      <c r="A9" s="27" t="s">
        <v>231</v>
      </c>
    </row>
    <row r="10" spans="1:1" x14ac:dyDescent="0.3">
      <c r="A10" s="28" t="s">
        <v>228</v>
      </c>
    </row>
    <row r="11" spans="1:1" x14ac:dyDescent="0.3">
      <c r="A11" s="27" t="s">
        <v>232</v>
      </c>
    </row>
    <row r="12" spans="1:1" x14ac:dyDescent="0.3">
      <c r="A12" s="28" t="s">
        <v>233</v>
      </c>
    </row>
    <row r="13" spans="1:1" x14ac:dyDescent="0.3">
      <c r="A13" s="27" t="s">
        <v>234</v>
      </c>
    </row>
    <row r="14" spans="1:1" x14ac:dyDescent="0.3">
      <c r="A14" s="28" t="s">
        <v>235</v>
      </c>
    </row>
    <row r="15" spans="1:1" x14ac:dyDescent="0.3">
      <c r="A15" s="27" t="s">
        <v>236</v>
      </c>
    </row>
    <row r="16" spans="1:1" x14ac:dyDescent="0.3">
      <c r="A16" s="28" t="s">
        <v>237</v>
      </c>
    </row>
    <row r="17" spans="1:1" x14ac:dyDescent="0.3">
      <c r="A17" s="27" t="s">
        <v>238</v>
      </c>
    </row>
    <row r="18" spans="1:1" x14ac:dyDescent="0.3">
      <c r="A18" s="28" t="s">
        <v>233</v>
      </c>
    </row>
    <row r="19" spans="1:1" x14ac:dyDescent="0.3">
      <c r="A19" s="27" t="s">
        <v>239</v>
      </c>
    </row>
    <row r="20" spans="1:1" x14ac:dyDescent="0.3">
      <c r="A20" s="28" t="s">
        <v>240</v>
      </c>
    </row>
    <row r="21" spans="1:1" x14ac:dyDescent="0.3">
      <c r="A21" s="27" t="s">
        <v>241</v>
      </c>
    </row>
    <row r="22" spans="1:1" x14ac:dyDescent="0.3">
      <c r="A22" s="28" t="s">
        <v>242</v>
      </c>
    </row>
    <row r="23" spans="1:1" x14ac:dyDescent="0.3">
      <c r="A23" s="27" t="s">
        <v>243</v>
      </c>
    </row>
    <row r="24" spans="1:1" x14ac:dyDescent="0.3">
      <c r="A24" s="28" t="s">
        <v>244</v>
      </c>
    </row>
    <row r="25" spans="1:1" x14ac:dyDescent="0.3">
      <c r="A25" s="27" t="s">
        <v>245</v>
      </c>
    </row>
    <row r="26" spans="1:1" x14ac:dyDescent="0.3">
      <c r="A26" s="28" t="s">
        <v>246</v>
      </c>
    </row>
    <row r="27" spans="1:1" x14ac:dyDescent="0.3">
      <c r="A27" s="27"/>
    </row>
    <row r="28" spans="1:1" x14ac:dyDescent="0.3">
      <c r="A28" s="28"/>
    </row>
    <row r="29" spans="1:1" x14ac:dyDescent="0.3">
      <c r="A29" s="27"/>
    </row>
    <row r="30" spans="1:1" x14ac:dyDescent="0.3">
      <c r="A30" s="28"/>
    </row>
    <row r="31" spans="1:1" x14ac:dyDescent="0.3">
      <c r="A31" s="27"/>
    </row>
    <row r="32" spans="1:1" x14ac:dyDescent="0.3">
      <c r="A32" s="28"/>
    </row>
    <row r="33" spans="1:1" x14ac:dyDescent="0.3">
      <c r="A33" s="28"/>
    </row>
    <row r="34" spans="1:1" x14ac:dyDescent="0.3">
      <c r="A34" s="28"/>
    </row>
    <row r="35" spans="1:1" x14ac:dyDescent="0.3">
      <c r="A35" s="27"/>
    </row>
    <row r="36" spans="1:1" x14ac:dyDescent="0.3">
      <c r="A36" s="28"/>
    </row>
    <row r="37" spans="1:1" x14ac:dyDescent="0.3">
      <c r="A37" s="27"/>
    </row>
    <row r="38" spans="1:1" x14ac:dyDescent="0.3">
      <c r="A38" s="28"/>
    </row>
    <row r="39" spans="1:1" x14ac:dyDescent="0.3">
      <c r="A39" s="27"/>
    </row>
    <row r="40" spans="1:1" x14ac:dyDescent="0.3">
      <c r="A40" s="28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77045-0B5C-49DF-B9F6-C40FD086508A}">
  <sheetPr codeName="Foglio4">
    <tabColor theme="0"/>
  </sheetPr>
  <dimension ref="A1:M109"/>
  <sheetViews>
    <sheetView topLeftCell="A66" workbookViewId="0">
      <selection sqref="A1:L66"/>
    </sheetView>
  </sheetViews>
  <sheetFormatPr defaultRowHeight="14.4" x14ac:dyDescent="0.3"/>
  <cols>
    <col min="3" max="3" width="39.21875" customWidth="1"/>
  </cols>
  <sheetData>
    <row r="1" spans="1:13" ht="15" thickBot="1" x14ac:dyDescent="0.35">
      <c r="A1" s="27" t="s">
        <v>223</v>
      </c>
    </row>
    <row r="2" spans="1:13" ht="87" thickBot="1" x14ac:dyDescent="0.35">
      <c r="A2" s="29" t="s">
        <v>88</v>
      </c>
      <c r="B2" s="29" t="s">
        <v>89</v>
      </c>
      <c r="C2" s="29" t="s">
        <v>247</v>
      </c>
      <c r="D2" s="29" t="s">
        <v>90</v>
      </c>
      <c r="E2" s="29" t="s">
        <v>91</v>
      </c>
      <c r="F2" s="29" t="s">
        <v>92</v>
      </c>
      <c r="G2" s="29" t="s">
        <v>93</v>
      </c>
      <c r="H2" s="29" t="s">
        <v>94</v>
      </c>
      <c r="I2" s="29" t="s">
        <v>95</v>
      </c>
      <c r="J2" s="29" t="s">
        <v>96</v>
      </c>
      <c r="K2" s="29" t="s">
        <v>97</v>
      </c>
      <c r="L2" s="29" t="s">
        <v>98</v>
      </c>
      <c r="M2" s="29"/>
    </row>
    <row r="3" spans="1:13" ht="15" thickBot="1" x14ac:dyDescent="0.35">
      <c r="A3" s="29">
        <v>1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</row>
    <row r="4" spans="1:13" ht="15" thickBot="1" x14ac:dyDescent="0.35">
      <c r="A4" s="29">
        <v>2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</row>
    <row r="5" spans="1:13" ht="15" thickBot="1" x14ac:dyDescent="0.35">
      <c r="A5" s="29">
        <v>3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</row>
    <row r="6" spans="1:13" ht="15" thickBot="1" x14ac:dyDescent="0.35">
      <c r="A6" s="27" t="s">
        <v>225</v>
      </c>
    </row>
    <row r="7" spans="1:13" ht="87" thickBot="1" x14ac:dyDescent="0.35">
      <c r="A7" s="29" t="s">
        <v>88</v>
      </c>
      <c r="B7" s="29" t="s">
        <v>89</v>
      </c>
      <c r="C7" s="29" t="s">
        <v>247</v>
      </c>
      <c r="D7" s="29" t="s">
        <v>90</v>
      </c>
      <c r="E7" s="29" t="s">
        <v>91</v>
      </c>
      <c r="F7" s="29" t="s">
        <v>92</v>
      </c>
      <c r="G7" s="29" t="s">
        <v>93</v>
      </c>
      <c r="H7" s="29" t="s">
        <v>94</v>
      </c>
      <c r="I7" s="29" t="s">
        <v>95</v>
      </c>
      <c r="J7" s="29" t="s">
        <v>96</v>
      </c>
      <c r="K7" s="29" t="s">
        <v>97</v>
      </c>
      <c r="L7" s="29" t="s">
        <v>98</v>
      </c>
    </row>
    <row r="8" spans="1:13" ht="15" thickBot="1" x14ac:dyDescent="0.35">
      <c r="A8" s="29">
        <v>1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</row>
    <row r="9" spans="1:13" ht="15" thickBot="1" x14ac:dyDescent="0.35">
      <c r="A9" s="29">
        <v>2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</row>
    <row r="10" spans="1:13" ht="15" thickBot="1" x14ac:dyDescent="0.35">
      <c r="A10" s="29">
        <v>3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</row>
    <row r="11" spans="1:13" ht="15" thickBot="1" x14ac:dyDescent="0.35">
      <c r="A11" s="27" t="s">
        <v>227</v>
      </c>
    </row>
    <row r="12" spans="1:13" ht="87" thickBot="1" x14ac:dyDescent="0.35">
      <c r="A12" s="29" t="s">
        <v>88</v>
      </c>
      <c r="B12" s="29" t="s">
        <v>89</v>
      </c>
      <c r="C12" s="29" t="s">
        <v>247</v>
      </c>
      <c r="D12" s="29" t="s">
        <v>90</v>
      </c>
      <c r="E12" s="29" t="s">
        <v>91</v>
      </c>
      <c r="F12" s="29" t="s">
        <v>92</v>
      </c>
      <c r="G12" s="29" t="s">
        <v>93</v>
      </c>
      <c r="H12" s="29" t="s">
        <v>94</v>
      </c>
      <c r="I12" s="29" t="s">
        <v>95</v>
      </c>
      <c r="J12" s="29" t="s">
        <v>96</v>
      </c>
      <c r="K12" s="29" t="s">
        <v>97</v>
      </c>
      <c r="L12" s="29" t="s">
        <v>98</v>
      </c>
    </row>
    <row r="13" spans="1:13" ht="15" thickBot="1" x14ac:dyDescent="0.35">
      <c r="A13" s="29">
        <v>1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</row>
    <row r="14" spans="1:13" ht="15" thickBot="1" x14ac:dyDescent="0.35">
      <c r="A14" s="29">
        <v>2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</row>
    <row r="15" spans="1:13" ht="15" thickBot="1" x14ac:dyDescent="0.35">
      <c r="A15" s="29">
        <v>3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</row>
    <row r="16" spans="1:13" ht="15" thickBot="1" x14ac:dyDescent="0.35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</row>
    <row r="17" spans="1:12" ht="15" thickBot="1" x14ac:dyDescent="0.35">
      <c r="A17" s="27" t="s">
        <v>229</v>
      </c>
    </row>
    <row r="18" spans="1:12" ht="87" thickBot="1" x14ac:dyDescent="0.35">
      <c r="A18" s="29" t="s">
        <v>88</v>
      </c>
      <c r="B18" s="29" t="s">
        <v>89</v>
      </c>
      <c r="C18" s="29" t="s">
        <v>247</v>
      </c>
      <c r="D18" s="29" t="s">
        <v>90</v>
      </c>
      <c r="E18" s="29" t="s">
        <v>91</v>
      </c>
      <c r="F18" s="29" t="s">
        <v>92</v>
      </c>
      <c r="G18" s="29" t="s">
        <v>93</v>
      </c>
      <c r="H18" s="29" t="s">
        <v>94</v>
      </c>
      <c r="I18" s="29" t="s">
        <v>95</v>
      </c>
      <c r="J18" s="29" t="s">
        <v>96</v>
      </c>
      <c r="K18" s="29" t="s">
        <v>97</v>
      </c>
      <c r="L18" s="29" t="s">
        <v>98</v>
      </c>
    </row>
    <row r="19" spans="1:12" ht="15" thickBot="1" x14ac:dyDescent="0.35">
      <c r="A19" s="29">
        <v>1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</row>
    <row r="20" spans="1:12" ht="15" thickBot="1" x14ac:dyDescent="0.35">
      <c r="A20" s="29">
        <v>2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</row>
    <row r="21" spans="1:12" ht="15" thickBot="1" x14ac:dyDescent="0.35">
      <c r="A21" s="29">
        <v>3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</row>
    <row r="22" spans="1:12" ht="15" thickBot="1" x14ac:dyDescent="0.35">
      <c r="A22" s="27" t="s">
        <v>231</v>
      </c>
    </row>
    <row r="23" spans="1:12" ht="87" thickBot="1" x14ac:dyDescent="0.35">
      <c r="A23" s="29" t="s">
        <v>88</v>
      </c>
      <c r="B23" s="29" t="s">
        <v>89</v>
      </c>
      <c r="C23" s="29" t="s">
        <v>247</v>
      </c>
      <c r="D23" s="29" t="s">
        <v>90</v>
      </c>
      <c r="E23" s="29" t="s">
        <v>91</v>
      </c>
      <c r="F23" s="29" t="s">
        <v>92</v>
      </c>
      <c r="G23" s="29" t="s">
        <v>93</v>
      </c>
      <c r="H23" s="29" t="s">
        <v>94</v>
      </c>
      <c r="I23" s="29" t="s">
        <v>95</v>
      </c>
      <c r="J23" s="29" t="s">
        <v>96</v>
      </c>
      <c r="K23" s="29" t="s">
        <v>97</v>
      </c>
      <c r="L23" s="29" t="s">
        <v>98</v>
      </c>
    </row>
    <row r="24" spans="1:12" ht="15" thickBot="1" x14ac:dyDescent="0.35">
      <c r="A24" s="29">
        <v>1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 ht="15" thickBot="1" x14ac:dyDescent="0.35">
      <c r="A25" s="29">
        <v>2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 ht="15" thickBot="1" x14ac:dyDescent="0.35">
      <c r="A26" s="29">
        <v>3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 ht="15" thickBot="1" x14ac:dyDescent="0.35">
      <c r="A27" s="27" t="s">
        <v>232</v>
      </c>
    </row>
    <row r="28" spans="1:12" ht="87" thickBot="1" x14ac:dyDescent="0.35">
      <c r="A28" s="29" t="s">
        <v>88</v>
      </c>
      <c r="B28" s="29" t="s">
        <v>89</v>
      </c>
      <c r="C28" s="29" t="s">
        <v>247</v>
      </c>
      <c r="D28" s="29" t="s">
        <v>90</v>
      </c>
      <c r="E28" s="29" t="s">
        <v>91</v>
      </c>
      <c r="F28" s="29" t="s">
        <v>92</v>
      </c>
      <c r="G28" s="29" t="s">
        <v>93</v>
      </c>
      <c r="H28" s="29" t="s">
        <v>94</v>
      </c>
      <c r="I28" s="29" t="s">
        <v>95</v>
      </c>
      <c r="J28" s="29" t="s">
        <v>96</v>
      </c>
      <c r="K28" s="29" t="s">
        <v>97</v>
      </c>
      <c r="L28" s="29" t="s">
        <v>98</v>
      </c>
    </row>
    <row r="29" spans="1:12" ht="87" thickBot="1" x14ac:dyDescent="0.35">
      <c r="A29" s="29">
        <v>1</v>
      </c>
      <c r="B29" s="29" t="s">
        <v>248</v>
      </c>
      <c r="C29" s="29" t="s">
        <v>186</v>
      </c>
      <c r="D29" s="29"/>
      <c r="E29" s="29" t="s">
        <v>249</v>
      </c>
      <c r="F29" s="29" t="s">
        <v>250</v>
      </c>
      <c r="G29" s="29" t="s">
        <v>251</v>
      </c>
      <c r="H29" s="29" t="s">
        <v>252</v>
      </c>
      <c r="I29" s="29" t="s">
        <v>253</v>
      </c>
      <c r="J29" s="29" t="s">
        <v>254</v>
      </c>
      <c r="K29" s="29" t="s">
        <v>87</v>
      </c>
      <c r="L29" s="29" t="s">
        <v>255</v>
      </c>
    </row>
    <row r="30" spans="1:12" ht="15" thickBot="1" x14ac:dyDescent="0.35">
      <c r="A30" s="29">
        <v>2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 ht="15" thickBot="1" x14ac:dyDescent="0.35">
      <c r="A31" s="29">
        <v>3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 ht="15" thickBot="1" x14ac:dyDescent="0.35">
      <c r="A32" s="27" t="s">
        <v>234</v>
      </c>
    </row>
    <row r="33" spans="1:12" ht="87" thickBot="1" x14ac:dyDescent="0.35">
      <c r="A33" s="29" t="s">
        <v>88</v>
      </c>
      <c r="B33" s="29" t="s">
        <v>89</v>
      </c>
      <c r="C33" s="29" t="s">
        <v>247</v>
      </c>
      <c r="D33" s="29" t="s">
        <v>90</v>
      </c>
      <c r="E33" s="29" t="s">
        <v>91</v>
      </c>
      <c r="F33" s="29" t="s">
        <v>92</v>
      </c>
      <c r="G33" s="29" t="s">
        <v>93</v>
      </c>
      <c r="H33" s="29" t="s">
        <v>94</v>
      </c>
      <c r="I33" s="29" t="s">
        <v>95</v>
      </c>
      <c r="J33" s="29" t="s">
        <v>96</v>
      </c>
      <c r="K33" s="29" t="s">
        <v>97</v>
      </c>
      <c r="L33" s="29" t="s">
        <v>98</v>
      </c>
    </row>
    <row r="34" spans="1:12" ht="15" thickBot="1" x14ac:dyDescent="0.35">
      <c r="A34" s="29">
        <v>1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  <row r="35" spans="1:12" ht="15" thickBot="1" x14ac:dyDescent="0.35">
      <c r="A35" s="29">
        <v>2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</row>
    <row r="36" spans="1:12" ht="15" thickBot="1" x14ac:dyDescent="0.35">
      <c r="A36" s="29">
        <v>3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</row>
    <row r="37" spans="1:12" ht="15" thickBot="1" x14ac:dyDescent="0.35">
      <c r="A37" s="27" t="s">
        <v>236</v>
      </c>
    </row>
    <row r="38" spans="1:12" ht="87" thickBot="1" x14ac:dyDescent="0.35">
      <c r="A38" s="29" t="s">
        <v>88</v>
      </c>
      <c r="B38" s="29" t="s">
        <v>89</v>
      </c>
      <c r="C38" s="29" t="s">
        <v>247</v>
      </c>
      <c r="D38" s="29" t="s">
        <v>90</v>
      </c>
      <c r="E38" s="29" t="s">
        <v>91</v>
      </c>
      <c r="F38" s="29" t="s">
        <v>92</v>
      </c>
      <c r="G38" s="29" t="s">
        <v>93</v>
      </c>
      <c r="H38" s="29" t="s">
        <v>94</v>
      </c>
      <c r="I38" s="29" t="s">
        <v>95</v>
      </c>
      <c r="J38" s="29" t="s">
        <v>96</v>
      </c>
      <c r="K38" s="29" t="s">
        <v>97</v>
      </c>
      <c r="L38" s="29" t="s">
        <v>98</v>
      </c>
    </row>
    <row r="39" spans="1:12" ht="15" thickBot="1" x14ac:dyDescent="0.35">
      <c r="A39" s="29">
        <v>1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</row>
    <row r="40" spans="1:12" ht="15" thickBot="1" x14ac:dyDescent="0.35">
      <c r="A40" s="29">
        <v>2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</row>
    <row r="41" spans="1:12" ht="15" thickBot="1" x14ac:dyDescent="0.35">
      <c r="A41" s="29">
        <v>3</v>
      </c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</row>
    <row r="42" spans="1:12" ht="15" thickBot="1" x14ac:dyDescent="0.35">
      <c r="A42" s="27" t="s">
        <v>238</v>
      </c>
    </row>
    <row r="43" spans="1:12" ht="87" thickBot="1" x14ac:dyDescent="0.35">
      <c r="A43" s="29" t="s">
        <v>88</v>
      </c>
      <c r="B43" s="29" t="s">
        <v>89</v>
      </c>
      <c r="C43" s="29" t="s">
        <v>247</v>
      </c>
      <c r="D43" s="29" t="s">
        <v>90</v>
      </c>
      <c r="E43" s="29" t="s">
        <v>91</v>
      </c>
      <c r="F43" s="29" t="s">
        <v>92</v>
      </c>
      <c r="G43" s="29" t="s">
        <v>93</v>
      </c>
      <c r="H43" s="29" t="s">
        <v>94</v>
      </c>
      <c r="I43" s="29" t="s">
        <v>95</v>
      </c>
      <c r="J43" s="29" t="s">
        <v>96</v>
      </c>
      <c r="K43" s="29" t="s">
        <v>97</v>
      </c>
      <c r="L43" s="29" t="s">
        <v>98</v>
      </c>
    </row>
    <row r="44" spans="1:12" ht="15" thickBot="1" x14ac:dyDescent="0.35">
      <c r="A44" s="29">
        <v>1</v>
      </c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</row>
    <row r="45" spans="1:12" ht="15" thickBot="1" x14ac:dyDescent="0.35">
      <c r="A45" s="29">
        <v>2</v>
      </c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</row>
    <row r="46" spans="1:12" ht="15" thickBot="1" x14ac:dyDescent="0.35">
      <c r="A46" s="29">
        <v>3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</row>
    <row r="47" spans="1:12" ht="15" thickBot="1" x14ac:dyDescent="0.35">
      <c r="A47" s="27" t="s">
        <v>239</v>
      </c>
    </row>
    <row r="48" spans="1:12" ht="87" thickBot="1" x14ac:dyDescent="0.35">
      <c r="A48" s="29" t="s">
        <v>88</v>
      </c>
      <c r="B48" s="29" t="s">
        <v>89</v>
      </c>
      <c r="C48" s="29" t="s">
        <v>247</v>
      </c>
      <c r="D48" s="29" t="s">
        <v>90</v>
      </c>
      <c r="E48" s="29" t="s">
        <v>91</v>
      </c>
      <c r="F48" s="29" t="s">
        <v>92</v>
      </c>
      <c r="G48" s="29" t="s">
        <v>93</v>
      </c>
      <c r="H48" s="29" t="s">
        <v>94</v>
      </c>
      <c r="I48" s="29" t="s">
        <v>95</v>
      </c>
      <c r="J48" s="29" t="s">
        <v>96</v>
      </c>
      <c r="K48" s="29" t="s">
        <v>97</v>
      </c>
      <c r="L48" s="29" t="s">
        <v>98</v>
      </c>
    </row>
    <row r="49" spans="1:12" ht="15" thickBot="1" x14ac:dyDescent="0.35">
      <c r="A49" s="29">
        <v>1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</row>
    <row r="50" spans="1:12" ht="15" thickBot="1" x14ac:dyDescent="0.35">
      <c r="A50" s="29">
        <v>2</v>
      </c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</row>
    <row r="51" spans="1:12" ht="15" thickBot="1" x14ac:dyDescent="0.35">
      <c r="A51" s="29">
        <v>3</v>
      </c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</row>
    <row r="52" spans="1:12" ht="15" thickBot="1" x14ac:dyDescent="0.35">
      <c r="A52" s="27" t="s">
        <v>241</v>
      </c>
    </row>
    <row r="53" spans="1:12" ht="87" thickBot="1" x14ac:dyDescent="0.35">
      <c r="A53" s="29" t="s">
        <v>88</v>
      </c>
      <c r="B53" s="29" t="s">
        <v>89</v>
      </c>
      <c r="C53" s="29" t="s">
        <v>247</v>
      </c>
      <c r="D53" s="29" t="s">
        <v>90</v>
      </c>
      <c r="E53" s="29" t="s">
        <v>91</v>
      </c>
      <c r="F53" s="29" t="s">
        <v>92</v>
      </c>
      <c r="G53" s="29" t="s">
        <v>93</v>
      </c>
      <c r="H53" s="29" t="s">
        <v>94</v>
      </c>
      <c r="I53" s="29" t="s">
        <v>95</v>
      </c>
      <c r="J53" s="29" t="s">
        <v>96</v>
      </c>
      <c r="K53" s="29" t="s">
        <v>97</v>
      </c>
      <c r="L53" s="29" t="s">
        <v>98</v>
      </c>
    </row>
    <row r="54" spans="1:12" ht="15" thickBot="1" x14ac:dyDescent="0.35">
      <c r="A54" s="29">
        <v>1</v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</row>
    <row r="55" spans="1:12" ht="15" thickBot="1" x14ac:dyDescent="0.35">
      <c r="A55" s="29">
        <v>2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</row>
    <row r="56" spans="1:12" ht="15" thickBot="1" x14ac:dyDescent="0.35">
      <c r="A56" s="29">
        <v>3</v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</row>
    <row r="57" spans="1:12" ht="15" thickBot="1" x14ac:dyDescent="0.35">
      <c r="A57" s="27" t="s">
        <v>243</v>
      </c>
    </row>
    <row r="58" spans="1:12" ht="87" thickBot="1" x14ac:dyDescent="0.35">
      <c r="A58" s="29" t="s">
        <v>88</v>
      </c>
      <c r="B58" s="29" t="s">
        <v>89</v>
      </c>
      <c r="C58" s="29" t="s">
        <v>247</v>
      </c>
      <c r="D58" s="29" t="s">
        <v>90</v>
      </c>
      <c r="E58" s="29" t="s">
        <v>91</v>
      </c>
      <c r="F58" s="29" t="s">
        <v>92</v>
      </c>
      <c r="G58" s="29" t="s">
        <v>93</v>
      </c>
      <c r="H58" s="29" t="s">
        <v>94</v>
      </c>
      <c r="I58" s="29" t="s">
        <v>95</v>
      </c>
      <c r="J58" s="29" t="s">
        <v>96</v>
      </c>
      <c r="K58" s="29" t="s">
        <v>97</v>
      </c>
      <c r="L58" s="29" t="s">
        <v>98</v>
      </c>
    </row>
    <row r="59" spans="1:12" ht="58.2" thickBot="1" x14ac:dyDescent="0.35">
      <c r="A59" s="29">
        <v>1</v>
      </c>
      <c r="B59" s="29" t="s">
        <v>211</v>
      </c>
      <c r="C59" s="29"/>
      <c r="D59" s="29"/>
      <c r="E59" s="29"/>
      <c r="F59" s="29" t="s">
        <v>256</v>
      </c>
      <c r="G59" s="29" t="s">
        <v>257</v>
      </c>
      <c r="H59" s="29" t="s">
        <v>258</v>
      </c>
      <c r="I59" s="29" t="s">
        <v>253</v>
      </c>
      <c r="J59" s="29" t="s">
        <v>259</v>
      </c>
      <c r="K59" s="29" t="s">
        <v>87</v>
      </c>
      <c r="L59" s="29" t="s">
        <v>260</v>
      </c>
    </row>
    <row r="60" spans="1:12" ht="58.2" thickBot="1" x14ac:dyDescent="0.35">
      <c r="A60" s="29">
        <v>2</v>
      </c>
      <c r="B60" s="29" t="s">
        <v>211</v>
      </c>
      <c r="C60" s="29"/>
      <c r="D60" s="29"/>
      <c r="E60" s="29"/>
      <c r="F60" s="29" t="s">
        <v>256</v>
      </c>
      <c r="G60" s="29" t="s">
        <v>257</v>
      </c>
      <c r="H60" s="29" t="s">
        <v>258</v>
      </c>
      <c r="I60" s="29" t="s">
        <v>253</v>
      </c>
      <c r="J60" s="29" t="s">
        <v>259</v>
      </c>
      <c r="K60" s="29" t="s">
        <v>87</v>
      </c>
      <c r="L60" s="29" t="s">
        <v>261</v>
      </c>
    </row>
    <row r="61" spans="1:12" ht="130.19999999999999" thickBot="1" x14ac:dyDescent="0.35">
      <c r="A61" s="29">
        <v>3</v>
      </c>
      <c r="B61" s="29" t="s">
        <v>211</v>
      </c>
      <c r="C61" s="29"/>
      <c r="D61" s="29"/>
      <c r="E61" s="29"/>
      <c r="F61" s="29" t="s">
        <v>262</v>
      </c>
      <c r="G61" s="29" t="s">
        <v>263</v>
      </c>
      <c r="H61" s="29" t="s">
        <v>258</v>
      </c>
      <c r="I61" s="29" t="s">
        <v>253</v>
      </c>
      <c r="J61" s="29" t="s">
        <v>259</v>
      </c>
      <c r="K61" s="29" t="s">
        <v>87</v>
      </c>
      <c r="L61" s="29" t="s">
        <v>264</v>
      </c>
    </row>
    <row r="62" spans="1:12" ht="15" thickBot="1" x14ac:dyDescent="0.35">
      <c r="A62" s="27" t="s">
        <v>245</v>
      </c>
    </row>
    <row r="63" spans="1:12" ht="87" thickBot="1" x14ac:dyDescent="0.35">
      <c r="A63" s="29" t="s">
        <v>88</v>
      </c>
      <c r="B63" s="29" t="s">
        <v>89</v>
      </c>
      <c r="C63" s="29" t="s">
        <v>247</v>
      </c>
      <c r="D63" s="29" t="s">
        <v>90</v>
      </c>
      <c r="E63" s="29" t="s">
        <v>91</v>
      </c>
      <c r="F63" s="29" t="s">
        <v>92</v>
      </c>
      <c r="G63" s="29" t="s">
        <v>93</v>
      </c>
      <c r="H63" s="29" t="s">
        <v>94</v>
      </c>
      <c r="I63" s="29" t="s">
        <v>95</v>
      </c>
      <c r="J63" s="29" t="s">
        <v>96</v>
      </c>
      <c r="K63" s="29" t="s">
        <v>97</v>
      </c>
      <c r="L63" s="29" t="s">
        <v>98</v>
      </c>
    </row>
    <row r="64" spans="1:12" ht="15" thickBot="1" x14ac:dyDescent="0.35">
      <c r="A64" s="29">
        <v>1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</row>
    <row r="65" spans="1:12" ht="15" thickBot="1" x14ac:dyDescent="0.35">
      <c r="A65" s="29">
        <v>2</v>
      </c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</row>
    <row r="66" spans="1:12" ht="15" thickBot="1" x14ac:dyDescent="0.35">
      <c r="A66" s="29">
        <v>3</v>
      </c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</row>
    <row r="67" spans="1:12" ht="15" thickBot="1" x14ac:dyDescent="0.35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</row>
    <row r="68" spans="1:12" ht="15" thickBot="1" x14ac:dyDescent="0.35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</row>
    <row r="69" spans="1:12" ht="15" thickBot="1" x14ac:dyDescent="0.35">
      <c r="A69" s="27"/>
    </row>
    <row r="70" spans="1:12" ht="15" thickBot="1" x14ac:dyDescent="0.35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</row>
    <row r="71" spans="1:12" ht="15" thickBot="1" x14ac:dyDescent="0.35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</row>
    <row r="72" spans="1:12" ht="15" thickBot="1" x14ac:dyDescent="0.35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</row>
    <row r="73" spans="1:12" ht="15" thickBot="1" x14ac:dyDescent="0.35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</row>
    <row r="74" spans="1:12" ht="15" thickBot="1" x14ac:dyDescent="0.35">
      <c r="A74" s="27"/>
    </row>
    <row r="75" spans="1:12" ht="15" thickBot="1" x14ac:dyDescent="0.3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</row>
    <row r="76" spans="1:12" ht="15" thickBot="1" x14ac:dyDescent="0.35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</row>
    <row r="77" spans="1:12" ht="15" thickBot="1" x14ac:dyDescent="0.35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</row>
    <row r="78" spans="1:12" ht="15" thickBot="1" x14ac:dyDescent="0.35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</row>
    <row r="79" spans="1:12" ht="15" thickBot="1" x14ac:dyDescent="0.35">
      <c r="A79" s="27"/>
    </row>
    <row r="80" spans="1:12" ht="15" thickBot="1" x14ac:dyDescent="0.35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</row>
    <row r="81" spans="1:12" ht="15" thickBot="1" x14ac:dyDescent="0.35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</row>
    <row r="82" spans="1:12" ht="15" thickBot="1" x14ac:dyDescent="0.35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</row>
    <row r="83" spans="1:12" ht="15" thickBot="1" x14ac:dyDescent="0.35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</row>
    <row r="84" spans="1:12" ht="15" thickBot="1" x14ac:dyDescent="0.35">
      <c r="A84" s="27"/>
    </row>
    <row r="85" spans="1:12" ht="15" thickBot="1" x14ac:dyDescent="0.3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</row>
    <row r="86" spans="1:12" ht="15" thickBot="1" x14ac:dyDescent="0.35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</row>
    <row r="87" spans="1:12" ht="15" thickBot="1" x14ac:dyDescent="0.35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</row>
    <row r="88" spans="1:12" ht="15" thickBot="1" x14ac:dyDescent="0.35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</row>
    <row r="89" spans="1:12" ht="15" thickBot="1" x14ac:dyDescent="0.35">
      <c r="A89" s="27"/>
    </row>
    <row r="90" spans="1:12" ht="15" thickBot="1" x14ac:dyDescent="0.35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</row>
    <row r="91" spans="1:12" ht="15" thickBot="1" x14ac:dyDescent="0.35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</row>
    <row r="92" spans="1:12" ht="15" thickBot="1" x14ac:dyDescent="0.35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</row>
    <row r="93" spans="1:12" ht="15" thickBot="1" x14ac:dyDescent="0.35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</row>
    <row r="94" spans="1:12" ht="15" thickBot="1" x14ac:dyDescent="0.35">
      <c r="A94" s="27"/>
    </row>
    <row r="95" spans="1:12" x14ac:dyDescent="0.3">
      <c r="A95" s="78"/>
      <c r="B95" s="69"/>
      <c r="C95" s="69"/>
      <c r="D95" s="69"/>
      <c r="E95" s="33"/>
      <c r="F95" s="69"/>
      <c r="G95" s="69"/>
      <c r="H95" s="69"/>
      <c r="I95" s="33"/>
      <c r="J95" s="69"/>
      <c r="K95" s="33"/>
      <c r="L95" s="69"/>
    </row>
    <row r="96" spans="1:12" x14ac:dyDescent="0.3">
      <c r="A96" s="79"/>
      <c r="B96" s="70"/>
      <c r="C96" s="70"/>
      <c r="D96" s="70"/>
      <c r="E96" s="43"/>
      <c r="F96" s="70"/>
      <c r="G96" s="70"/>
      <c r="H96" s="70"/>
      <c r="I96" s="43"/>
      <c r="J96" s="70"/>
      <c r="K96" s="43"/>
      <c r="L96" s="70"/>
    </row>
    <row r="97" spans="1:12" ht="15" thickBot="1" x14ac:dyDescent="0.35">
      <c r="A97" s="80"/>
      <c r="B97" s="71"/>
      <c r="C97" s="71"/>
      <c r="D97" s="71"/>
      <c r="E97" s="44"/>
      <c r="F97" s="71"/>
      <c r="G97" s="71"/>
      <c r="H97" s="71"/>
      <c r="I97" s="34"/>
      <c r="J97" s="71"/>
      <c r="K97" s="44"/>
      <c r="L97" s="71"/>
    </row>
    <row r="98" spans="1:12" x14ac:dyDescent="0.3">
      <c r="A98" s="76"/>
      <c r="B98" s="74"/>
      <c r="C98" s="45"/>
      <c r="D98" s="76"/>
      <c r="E98" s="74"/>
      <c r="F98" s="76"/>
      <c r="G98" s="74"/>
      <c r="H98" s="74"/>
      <c r="I98" s="74"/>
      <c r="J98" s="76"/>
      <c r="K98" s="74"/>
      <c r="L98" s="72"/>
    </row>
    <row r="99" spans="1:12" ht="15" thickBot="1" x14ac:dyDescent="0.35">
      <c r="A99" s="77"/>
      <c r="B99" s="75"/>
      <c r="C99" s="46"/>
      <c r="D99" s="77"/>
      <c r="E99" s="75"/>
      <c r="F99" s="77"/>
      <c r="G99" s="75"/>
      <c r="H99" s="75"/>
      <c r="I99" s="75"/>
      <c r="J99" s="77"/>
      <c r="K99" s="75"/>
      <c r="L99" s="73"/>
    </row>
    <row r="100" spans="1:12" ht="15" thickBot="1" x14ac:dyDescent="0.35">
      <c r="A100" s="29"/>
      <c r="B100" s="35"/>
      <c r="C100" s="35"/>
      <c r="D100" s="29"/>
      <c r="E100" s="35"/>
      <c r="F100" s="29"/>
      <c r="G100" s="35"/>
      <c r="H100" s="35"/>
      <c r="I100" s="35"/>
      <c r="J100" s="29"/>
      <c r="K100" s="35"/>
      <c r="L100" s="29"/>
    </row>
    <row r="101" spans="1:12" ht="15" thickBot="1" x14ac:dyDescent="0.35">
      <c r="A101" s="35"/>
      <c r="B101" s="35"/>
      <c r="C101" s="35"/>
      <c r="D101" s="29"/>
      <c r="E101" s="47"/>
      <c r="F101" s="29"/>
      <c r="G101" s="35"/>
      <c r="H101" s="35"/>
      <c r="I101" s="35"/>
      <c r="J101" s="29"/>
      <c r="K101" s="35"/>
      <c r="L101" s="29"/>
    </row>
    <row r="102" spans="1:12" ht="15" thickBot="1" x14ac:dyDescent="0.35">
      <c r="A102" s="35"/>
      <c r="B102" s="35"/>
      <c r="C102" s="29"/>
      <c r="D102" s="29"/>
      <c r="E102" s="29"/>
      <c r="F102" s="29"/>
      <c r="G102" s="35"/>
      <c r="H102" s="35"/>
      <c r="I102" s="35"/>
      <c r="J102" s="29"/>
      <c r="K102" s="35"/>
      <c r="L102" s="29"/>
    </row>
    <row r="103" spans="1:12" ht="15" thickBot="1" x14ac:dyDescent="0.35">
      <c r="A103" s="35"/>
      <c r="B103" s="35"/>
      <c r="C103" s="29"/>
      <c r="D103" s="29"/>
      <c r="E103" s="29"/>
      <c r="F103" s="29"/>
      <c r="G103" s="35"/>
      <c r="H103" s="35"/>
      <c r="I103" s="35"/>
      <c r="J103" s="29"/>
      <c r="K103" s="35"/>
      <c r="L103" s="29"/>
    </row>
    <row r="104" spans="1:12" ht="15" thickBot="1" x14ac:dyDescent="0.35">
      <c r="A104" s="35"/>
      <c r="B104" s="35"/>
      <c r="C104" s="29"/>
      <c r="D104" s="29"/>
      <c r="E104" s="29"/>
      <c r="F104" s="29"/>
      <c r="G104" s="35"/>
      <c r="H104" s="35"/>
      <c r="I104" s="35"/>
      <c r="J104" s="29"/>
      <c r="K104" s="35"/>
      <c r="L104" s="29"/>
    </row>
    <row r="105" spans="1:12" ht="15" thickBot="1" x14ac:dyDescent="0.35">
      <c r="A105" s="27"/>
    </row>
    <row r="106" spans="1:12" ht="15" thickBot="1" x14ac:dyDescent="0.35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</row>
    <row r="107" spans="1:12" ht="15" thickBot="1" x14ac:dyDescent="0.35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</row>
    <row r="108" spans="1:12" ht="15" thickBot="1" x14ac:dyDescent="0.35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</row>
    <row r="109" spans="1:12" ht="15" thickBot="1" x14ac:dyDescent="0.35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</row>
  </sheetData>
  <mergeCells count="20">
    <mergeCell ref="A95:A97"/>
    <mergeCell ref="B95:B97"/>
    <mergeCell ref="C95:C97"/>
    <mergeCell ref="D95:D97"/>
    <mergeCell ref="G98:G99"/>
    <mergeCell ref="A98:A99"/>
    <mergeCell ref="B98:B99"/>
    <mergeCell ref="D98:D99"/>
    <mergeCell ref="E98:E99"/>
    <mergeCell ref="F98:F99"/>
    <mergeCell ref="F95:F97"/>
    <mergeCell ref="G95:G97"/>
    <mergeCell ref="H95:H97"/>
    <mergeCell ref="J95:J97"/>
    <mergeCell ref="L95:L97"/>
    <mergeCell ref="L98:L99"/>
    <mergeCell ref="H98:H99"/>
    <mergeCell ref="I98:I99"/>
    <mergeCell ref="J98:J99"/>
    <mergeCell ref="K98:K9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38067-057E-416E-92D4-1141A165715E}">
  <sheetPr codeName="Foglio5">
    <tabColor theme="0"/>
  </sheetPr>
  <dimension ref="A1:N127"/>
  <sheetViews>
    <sheetView topLeftCell="A107" workbookViewId="0">
      <selection sqref="A1:N108"/>
    </sheetView>
  </sheetViews>
  <sheetFormatPr defaultColWidth="9.21875" defaultRowHeight="14.4" x14ac:dyDescent="0.3"/>
  <cols>
    <col min="1" max="1" width="9.21875" style="8"/>
    <col min="2" max="2" width="28.44140625" style="8" customWidth="1"/>
    <col min="3" max="3" width="35.5546875" style="8" customWidth="1"/>
    <col min="4" max="4" width="23.44140625" style="8" customWidth="1"/>
    <col min="5" max="5" width="35.77734375" style="8" customWidth="1"/>
    <col min="6" max="16384" width="9.21875" style="8"/>
  </cols>
  <sheetData>
    <row r="1" spans="1:14" ht="15" thickBot="1" x14ac:dyDescent="0.35">
      <c r="A1" s="27" t="s">
        <v>223</v>
      </c>
      <c r="B1"/>
      <c r="C1"/>
      <c r="D1"/>
      <c r="E1"/>
      <c r="F1"/>
      <c r="G1"/>
      <c r="H1"/>
      <c r="I1"/>
      <c r="J1"/>
      <c r="K1"/>
      <c r="L1"/>
      <c r="M1"/>
      <c r="N1"/>
    </row>
    <row r="2" spans="1:14" ht="87" thickBot="1" x14ac:dyDescent="0.35">
      <c r="A2" s="29"/>
      <c r="B2" s="29"/>
      <c r="C2" s="29" t="s">
        <v>88</v>
      </c>
      <c r="D2" s="29" t="s">
        <v>89</v>
      </c>
      <c r="E2" s="29" t="s">
        <v>99</v>
      </c>
      <c r="F2" s="29" t="s">
        <v>90</v>
      </c>
      <c r="G2" s="29" t="s">
        <v>91</v>
      </c>
      <c r="H2" s="29" t="s">
        <v>92</v>
      </c>
      <c r="I2" s="29" t="s">
        <v>93</v>
      </c>
      <c r="J2" s="29" t="s">
        <v>94</v>
      </c>
      <c r="K2" s="29" t="s">
        <v>95</v>
      </c>
      <c r="L2" s="29" t="s">
        <v>96</v>
      </c>
      <c r="M2" s="29" t="s">
        <v>97</v>
      </c>
      <c r="N2" s="29" t="s">
        <v>98</v>
      </c>
    </row>
    <row r="3" spans="1:14" ht="29.4" thickBot="1" x14ac:dyDescent="0.35">
      <c r="A3" s="29"/>
      <c r="B3" s="29"/>
      <c r="C3" s="29">
        <v>1</v>
      </c>
      <c r="D3" s="29" t="s">
        <v>106</v>
      </c>
      <c r="E3" s="29" t="s">
        <v>107</v>
      </c>
      <c r="F3" s="29" t="s">
        <v>108</v>
      </c>
      <c r="G3" s="29"/>
      <c r="H3" s="29" t="s">
        <v>109</v>
      </c>
      <c r="I3" s="29"/>
      <c r="J3" s="29" t="s">
        <v>101</v>
      </c>
      <c r="K3" s="29" t="s">
        <v>105</v>
      </c>
      <c r="L3" s="29" t="s">
        <v>102</v>
      </c>
      <c r="M3" s="29" t="s">
        <v>87</v>
      </c>
      <c r="N3" s="29" t="s">
        <v>110</v>
      </c>
    </row>
    <row r="4" spans="1:14" ht="43.8" thickBot="1" x14ac:dyDescent="0.35">
      <c r="A4" s="29"/>
      <c r="B4" s="29"/>
      <c r="C4" s="29">
        <v>2</v>
      </c>
      <c r="D4" s="29" t="s">
        <v>111</v>
      </c>
      <c r="E4" s="48" t="s">
        <v>112</v>
      </c>
      <c r="F4" s="29" t="s">
        <v>108</v>
      </c>
      <c r="G4" s="29"/>
      <c r="H4" s="29" t="s">
        <v>109</v>
      </c>
      <c r="I4" s="29"/>
      <c r="J4" s="29" t="s">
        <v>101</v>
      </c>
      <c r="K4" s="29" t="s">
        <v>105</v>
      </c>
      <c r="L4" s="29" t="s">
        <v>102</v>
      </c>
      <c r="M4" s="29" t="s">
        <v>87</v>
      </c>
      <c r="N4" s="29"/>
    </row>
    <row r="5" spans="1:14" ht="43.8" thickBot="1" x14ac:dyDescent="0.35">
      <c r="A5" s="29"/>
      <c r="B5" s="29"/>
      <c r="C5" s="29">
        <v>3</v>
      </c>
      <c r="D5" s="29" t="s">
        <v>113</v>
      </c>
      <c r="E5" s="48" t="s">
        <v>114</v>
      </c>
      <c r="F5" s="29" t="s">
        <v>108</v>
      </c>
      <c r="G5" s="29"/>
      <c r="H5" s="29" t="s">
        <v>109</v>
      </c>
      <c r="I5" s="29"/>
      <c r="J5" s="29" t="s">
        <v>101</v>
      </c>
      <c r="K5" s="29" t="s">
        <v>105</v>
      </c>
      <c r="L5" s="29" t="s">
        <v>102</v>
      </c>
      <c r="M5" s="29" t="s">
        <v>87</v>
      </c>
      <c r="N5" s="29"/>
    </row>
    <row r="6" spans="1:14" ht="56.25" customHeight="1" thickBot="1" x14ac:dyDescent="0.35">
      <c r="A6" s="29"/>
      <c r="B6" s="29"/>
      <c r="C6" s="29">
        <v>4</v>
      </c>
      <c r="D6" s="29" t="s">
        <v>115</v>
      </c>
      <c r="E6" s="48" t="s">
        <v>116</v>
      </c>
      <c r="F6" s="29" t="s">
        <v>108</v>
      </c>
      <c r="G6" s="29"/>
      <c r="H6" s="29" t="s">
        <v>109</v>
      </c>
      <c r="I6" s="29"/>
      <c r="J6" s="29" t="s">
        <v>101</v>
      </c>
      <c r="K6" s="29" t="s">
        <v>105</v>
      </c>
      <c r="L6" s="29" t="s">
        <v>102</v>
      </c>
      <c r="M6" s="29" t="s">
        <v>87</v>
      </c>
      <c r="N6" s="29"/>
    </row>
    <row r="7" spans="1:14" ht="46.5" customHeight="1" thickBot="1" x14ac:dyDescent="0.35">
      <c r="A7" s="29"/>
      <c r="B7" s="29"/>
      <c r="C7" s="29">
        <v>5</v>
      </c>
      <c r="D7" s="29" t="s">
        <v>117</v>
      </c>
      <c r="E7" s="48" t="s">
        <v>118</v>
      </c>
      <c r="F7" s="29" t="s">
        <v>108</v>
      </c>
      <c r="G7" s="29"/>
      <c r="H7" s="29" t="s">
        <v>109</v>
      </c>
      <c r="I7" s="29"/>
      <c r="J7" s="29" t="s">
        <v>101</v>
      </c>
      <c r="K7" s="29" t="s">
        <v>105</v>
      </c>
      <c r="L7" s="29" t="s">
        <v>102</v>
      </c>
      <c r="M7" s="29" t="s">
        <v>87</v>
      </c>
      <c r="N7" s="29"/>
    </row>
    <row r="8" spans="1:14" ht="104.25" customHeight="1" thickBot="1" x14ac:dyDescent="0.35">
      <c r="A8" s="29"/>
      <c r="B8" s="29"/>
      <c r="C8" s="29">
        <v>6</v>
      </c>
      <c r="D8" s="29" t="s">
        <v>119</v>
      </c>
      <c r="E8" s="48" t="s">
        <v>120</v>
      </c>
      <c r="F8" s="29" t="s">
        <v>108</v>
      </c>
      <c r="G8" s="29"/>
      <c r="H8" s="29" t="s">
        <v>109</v>
      </c>
      <c r="I8" s="29"/>
      <c r="J8" s="29" t="s">
        <v>101</v>
      </c>
      <c r="K8" s="29" t="s">
        <v>105</v>
      </c>
      <c r="L8" s="29" t="s">
        <v>102</v>
      </c>
      <c r="M8" s="29" t="s">
        <v>87</v>
      </c>
      <c r="N8" s="29"/>
    </row>
    <row r="9" spans="1:14" ht="43.8" thickBot="1" x14ac:dyDescent="0.35">
      <c r="A9" s="29"/>
      <c r="B9" s="29"/>
      <c r="C9" s="29">
        <v>7</v>
      </c>
      <c r="D9" s="29" t="s">
        <v>121</v>
      </c>
      <c r="E9" s="48" t="s">
        <v>122</v>
      </c>
      <c r="F9" s="29" t="s">
        <v>108</v>
      </c>
      <c r="G9" s="29"/>
      <c r="H9" s="29" t="s">
        <v>109</v>
      </c>
      <c r="I9" s="29"/>
      <c r="J9" s="29" t="s">
        <v>101</v>
      </c>
      <c r="K9" s="29" t="s">
        <v>105</v>
      </c>
      <c r="L9" s="29" t="s">
        <v>102</v>
      </c>
      <c r="M9" s="29" t="s">
        <v>87</v>
      </c>
      <c r="N9" s="29"/>
    </row>
    <row r="10" spans="1:14" ht="44.25" customHeight="1" thickBot="1" x14ac:dyDescent="0.35">
      <c r="A10" s="29"/>
      <c r="B10" s="29"/>
      <c r="C10" s="29">
        <v>8</v>
      </c>
      <c r="D10" s="29" t="s">
        <v>123</v>
      </c>
      <c r="E10" s="48" t="s">
        <v>124</v>
      </c>
      <c r="F10" s="29" t="s">
        <v>108</v>
      </c>
      <c r="G10" s="29"/>
      <c r="H10" s="29" t="s">
        <v>109</v>
      </c>
      <c r="I10" s="29"/>
      <c r="J10" s="29" t="s">
        <v>101</v>
      </c>
      <c r="K10" s="29" t="s">
        <v>105</v>
      </c>
      <c r="L10" s="29" t="s">
        <v>102</v>
      </c>
      <c r="M10" s="29" t="s">
        <v>87</v>
      </c>
      <c r="N10" s="29"/>
    </row>
    <row r="11" spans="1:14" ht="43.8" thickBot="1" x14ac:dyDescent="0.35">
      <c r="A11" s="29"/>
      <c r="B11" s="29"/>
      <c r="C11" s="29">
        <v>9</v>
      </c>
      <c r="D11" s="29" t="s">
        <v>125</v>
      </c>
      <c r="E11" s="48" t="s">
        <v>126</v>
      </c>
      <c r="F11" s="29" t="s">
        <v>108</v>
      </c>
      <c r="G11" s="29"/>
      <c r="H11" s="29" t="s">
        <v>109</v>
      </c>
      <c r="I11" s="29"/>
      <c r="J11" s="29" t="s">
        <v>101</v>
      </c>
      <c r="K11" s="29" t="s">
        <v>105</v>
      </c>
      <c r="L11" s="29" t="s">
        <v>102</v>
      </c>
      <c r="M11" s="29" t="s">
        <v>87</v>
      </c>
      <c r="N11" s="29"/>
    </row>
    <row r="12" spans="1:14" ht="43.8" thickBot="1" x14ac:dyDescent="0.35">
      <c r="A12" s="29"/>
      <c r="B12" s="29"/>
      <c r="C12" s="29">
        <v>10</v>
      </c>
      <c r="D12" s="29" t="s">
        <v>127</v>
      </c>
      <c r="E12" s="48" t="s">
        <v>128</v>
      </c>
      <c r="F12" s="29" t="s">
        <v>108</v>
      </c>
      <c r="G12" s="29"/>
      <c r="H12" s="29" t="s">
        <v>109</v>
      </c>
      <c r="I12" s="29"/>
      <c r="J12" s="29" t="s">
        <v>101</v>
      </c>
      <c r="K12" s="29" t="s">
        <v>105</v>
      </c>
      <c r="L12" s="29" t="s">
        <v>102</v>
      </c>
      <c r="M12" s="29" t="s">
        <v>87</v>
      </c>
      <c r="N12" s="29"/>
    </row>
    <row r="13" spans="1:14" ht="164.25" customHeight="1" thickBot="1" x14ac:dyDescent="0.35">
      <c r="A13" s="29"/>
      <c r="B13" s="29"/>
      <c r="C13" s="29">
        <v>11</v>
      </c>
      <c r="D13" s="29" t="s">
        <v>129</v>
      </c>
      <c r="E13" s="48" t="s">
        <v>130</v>
      </c>
      <c r="F13" s="29" t="s">
        <v>108</v>
      </c>
      <c r="G13" s="29"/>
      <c r="H13" s="29" t="s">
        <v>109</v>
      </c>
      <c r="I13" s="29"/>
      <c r="J13" s="29" t="s">
        <v>101</v>
      </c>
      <c r="K13" s="29" t="s">
        <v>105</v>
      </c>
      <c r="L13" s="29" t="s">
        <v>102</v>
      </c>
      <c r="M13" s="29" t="s">
        <v>87</v>
      </c>
      <c r="N13" s="29"/>
    </row>
    <row r="14" spans="1:14" ht="43.8" thickBot="1" x14ac:dyDescent="0.35">
      <c r="A14" s="29"/>
      <c r="B14" s="29"/>
      <c r="C14" s="29">
        <v>12</v>
      </c>
      <c r="D14" s="29" t="s">
        <v>131</v>
      </c>
      <c r="E14" s="48" t="s">
        <v>132</v>
      </c>
      <c r="F14" s="29" t="s">
        <v>108</v>
      </c>
      <c r="G14" s="29"/>
      <c r="H14" s="29" t="s">
        <v>109</v>
      </c>
      <c r="I14" s="29"/>
      <c r="J14" s="29" t="s">
        <v>101</v>
      </c>
      <c r="K14" s="29" t="s">
        <v>105</v>
      </c>
      <c r="L14" s="29" t="s">
        <v>102</v>
      </c>
      <c r="M14" s="29" t="s">
        <v>87</v>
      </c>
      <c r="N14" s="29"/>
    </row>
    <row r="15" spans="1:14" ht="119.25" customHeight="1" thickBot="1" x14ac:dyDescent="0.35">
      <c r="A15" s="29"/>
      <c r="B15" s="29"/>
      <c r="C15" s="29">
        <v>13</v>
      </c>
      <c r="D15" s="29" t="s">
        <v>133</v>
      </c>
      <c r="E15" s="48" t="s">
        <v>134</v>
      </c>
      <c r="F15" s="29" t="s">
        <v>108</v>
      </c>
      <c r="G15" s="29"/>
      <c r="H15" s="29" t="s">
        <v>109</v>
      </c>
      <c r="I15" s="29"/>
      <c r="J15" s="29" t="s">
        <v>101</v>
      </c>
      <c r="K15" s="29" t="s">
        <v>105</v>
      </c>
      <c r="L15" s="29" t="s">
        <v>102</v>
      </c>
      <c r="M15" s="29" t="s">
        <v>87</v>
      </c>
      <c r="N15" s="29"/>
    </row>
    <row r="16" spans="1:14" ht="43.8" thickBot="1" x14ac:dyDescent="0.35">
      <c r="A16" s="29"/>
      <c r="B16" s="29"/>
      <c r="C16" s="29">
        <v>14</v>
      </c>
      <c r="D16" s="29" t="s">
        <v>135</v>
      </c>
      <c r="E16" s="48" t="s">
        <v>136</v>
      </c>
      <c r="F16" s="29" t="s">
        <v>108</v>
      </c>
      <c r="G16" s="29"/>
      <c r="H16" s="29" t="s">
        <v>109</v>
      </c>
      <c r="I16" s="29"/>
      <c r="J16" s="29" t="s">
        <v>101</v>
      </c>
      <c r="K16" s="29" t="s">
        <v>105</v>
      </c>
      <c r="L16" s="29" t="s">
        <v>102</v>
      </c>
      <c r="M16" s="29" t="s">
        <v>87</v>
      </c>
      <c r="N16" s="29"/>
    </row>
    <row r="17" spans="1:14" ht="43.8" thickBot="1" x14ac:dyDescent="0.35">
      <c r="A17" s="29"/>
      <c r="B17" s="29"/>
      <c r="C17" s="29">
        <v>15</v>
      </c>
      <c r="D17" s="29" t="s">
        <v>137</v>
      </c>
      <c r="E17" s="48" t="s">
        <v>138</v>
      </c>
      <c r="F17" s="29" t="s">
        <v>108</v>
      </c>
      <c r="G17" s="29"/>
      <c r="H17" s="29" t="s">
        <v>109</v>
      </c>
      <c r="I17" s="29"/>
      <c r="J17" s="29" t="s">
        <v>101</v>
      </c>
      <c r="K17" s="29" t="s">
        <v>105</v>
      </c>
      <c r="L17" s="29" t="s">
        <v>102</v>
      </c>
      <c r="M17" s="29" t="s">
        <v>87</v>
      </c>
      <c r="N17" s="29"/>
    </row>
    <row r="18" spans="1:14" ht="59.25" customHeight="1" thickBot="1" x14ac:dyDescent="0.35">
      <c r="A18" s="29"/>
      <c r="B18" s="29"/>
      <c r="C18" s="29">
        <v>16</v>
      </c>
      <c r="D18" s="29" t="s">
        <v>139</v>
      </c>
      <c r="E18" s="48" t="s">
        <v>140</v>
      </c>
      <c r="F18" s="29" t="s">
        <v>108</v>
      </c>
      <c r="G18" s="29"/>
      <c r="H18" s="29" t="s">
        <v>109</v>
      </c>
      <c r="I18" s="29"/>
      <c r="J18" s="29" t="s">
        <v>101</v>
      </c>
      <c r="K18" s="29" t="s">
        <v>105</v>
      </c>
      <c r="L18" s="29" t="s">
        <v>102</v>
      </c>
      <c r="M18" s="29" t="s">
        <v>87</v>
      </c>
      <c r="N18" s="29"/>
    </row>
    <row r="19" spans="1:14" ht="23.25" customHeight="1" thickBot="1" x14ac:dyDescent="0.35">
      <c r="A19" s="29"/>
      <c r="B19" s="29"/>
      <c r="C19" s="29">
        <v>17</v>
      </c>
      <c r="D19" s="29" t="s">
        <v>141</v>
      </c>
      <c r="E19" s="48" t="s">
        <v>142</v>
      </c>
      <c r="F19" s="29" t="s">
        <v>108</v>
      </c>
      <c r="G19" s="29"/>
      <c r="H19" s="29" t="s">
        <v>109</v>
      </c>
      <c r="I19" s="29"/>
      <c r="J19" s="29" t="s">
        <v>101</v>
      </c>
      <c r="K19" s="29" t="s">
        <v>105</v>
      </c>
      <c r="L19" s="29" t="s">
        <v>102</v>
      </c>
      <c r="M19" s="29" t="s">
        <v>87</v>
      </c>
      <c r="N19" s="29"/>
    </row>
    <row r="20" spans="1:14" ht="104.25" customHeight="1" thickBot="1" x14ac:dyDescent="0.35">
      <c r="A20" s="29"/>
      <c r="B20" s="29"/>
      <c r="C20" s="29">
        <v>18</v>
      </c>
      <c r="D20" s="29" t="s">
        <v>143</v>
      </c>
      <c r="E20" s="48" t="s">
        <v>144</v>
      </c>
      <c r="F20" s="29" t="s">
        <v>108</v>
      </c>
      <c r="G20" s="29"/>
      <c r="H20" s="29" t="s">
        <v>109</v>
      </c>
      <c r="I20" s="29"/>
      <c r="J20" s="29" t="s">
        <v>101</v>
      </c>
      <c r="K20" s="29" t="s">
        <v>105</v>
      </c>
      <c r="L20" s="29" t="s">
        <v>102</v>
      </c>
      <c r="M20" s="29" t="s">
        <v>87</v>
      </c>
      <c r="N20" s="29"/>
    </row>
    <row r="21" spans="1:14" ht="43.8" thickBot="1" x14ac:dyDescent="0.35">
      <c r="A21" s="29"/>
      <c r="B21" s="29"/>
      <c r="C21" s="29">
        <v>19</v>
      </c>
      <c r="D21" s="29" t="s">
        <v>100</v>
      </c>
      <c r="E21" s="48" t="s">
        <v>145</v>
      </c>
      <c r="F21" s="29" t="s">
        <v>108</v>
      </c>
      <c r="G21" s="29"/>
      <c r="H21" s="29" t="s">
        <v>109</v>
      </c>
      <c r="I21" s="29"/>
      <c r="J21" s="29" t="s">
        <v>101</v>
      </c>
      <c r="K21" s="29" t="s">
        <v>105</v>
      </c>
      <c r="L21" s="29" t="s">
        <v>102</v>
      </c>
      <c r="M21" s="29" t="s">
        <v>87</v>
      </c>
      <c r="N21" s="29"/>
    </row>
    <row r="22" spans="1:14" ht="43.8" thickBot="1" x14ac:dyDescent="0.35">
      <c r="A22" s="29"/>
      <c r="B22" s="29"/>
      <c r="C22" s="29">
        <v>20</v>
      </c>
      <c r="D22" s="29" t="s">
        <v>104</v>
      </c>
      <c r="E22" s="48" t="s">
        <v>146</v>
      </c>
      <c r="F22" s="29" t="s">
        <v>108</v>
      </c>
      <c r="G22" s="29"/>
      <c r="H22" s="29" t="s">
        <v>109</v>
      </c>
      <c r="I22" s="29"/>
      <c r="J22" s="29" t="s">
        <v>101</v>
      </c>
      <c r="K22" s="29" t="s">
        <v>105</v>
      </c>
      <c r="L22" s="29" t="s">
        <v>102</v>
      </c>
      <c r="M22" s="29" t="s">
        <v>87</v>
      </c>
      <c r="N22" s="29"/>
    </row>
    <row r="23" spans="1:14" ht="43.8" thickBot="1" x14ac:dyDescent="0.35">
      <c r="A23" s="29"/>
      <c r="B23" s="29"/>
      <c r="C23" s="29">
        <v>21</v>
      </c>
      <c r="D23" s="29" t="s">
        <v>103</v>
      </c>
      <c r="E23" s="48" t="s">
        <v>147</v>
      </c>
      <c r="F23" s="29" t="s">
        <v>108</v>
      </c>
      <c r="G23" s="29"/>
      <c r="H23" s="29" t="s">
        <v>109</v>
      </c>
      <c r="I23" s="29"/>
      <c r="J23" s="29" t="s">
        <v>101</v>
      </c>
      <c r="K23" s="29" t="s">
        <v>105</v>
      </c>
      <c r="L23" s="29" t="s">
        <v>102</v>
      </c>
      <c r="M23" s="29" t="s">
        <v>87</v>
      </c>
      <c r="N23" s="29"/>
    </row>
    <row r="24" spans="1:14" ht="43.8" thickBot="1" x14ac:dyDescent="0.35">
      <c r="A24" s="29"/>
      <c r="B24" s="29"/>
      <c r="C24" s="29">
        <v>22</v>
      </c>
      <c r="D24" s="29" t="s">
        <v>148</v>
      </c>
      <c r="E24" s="48" t="s">
        <v>149</v>
      </c>
      <c r="F24" s="29" t="s">
        <v>108</v>
      </c>
      <c r="G24" s="29"/>
      <c r="H24" s="29" t="s">
        <v>109</v>
      </c>
      <c r="I24" s="29"/>
      <c r="J24" s="29" t="s">
        <v>101</v>
      </c>
      <c r="K24" s="29" t="s">
        <v>105</v>
      </c>
      <c r="L24" s="29" t="s">
        <v>102</v>
      </c>
      <c r="M24" s="29" t="s">
        <v>87</v>
      </c>
      <c r="N24" s="29"/>
    </row>
    <row r="25" spans="1:14" ht="43.8" thickBot="1" x14ac:dyDescent="0.35">
      <c r="A25" s="29"/>
      <c r="B25" s="29"/>
      <c r="C25" s="29">
        <v>23</v>
      </c>
      <c r="D25" s="29" t="s">
        <v>150</v>
      </c>
      <c r="E25" s="48" t="s">
        <v>151</v>
      </c>
      <c r="F25" s="29" t="s">
        <v>108</v>
      </c>
      <c r="G25" s="29"/>
      <c r="H25" s="29" t="s">
        <v>109</v>
      </c>
      <c r="I25" s="29"/>
      <c r="J25" s="29" t="s">
        <v>101</v>
      </c>
      <c r="K25" s="29" t="s">
        <v>105</v>
      </c>
      <c r="L25" s="29" t="s">
        <v>102</v>
      </c>
      <c r="M25" s="29" t="s">
        <v>87</v>
      </c>
      <c r="N25" s="29"/>
    </row>
    <row r="26" spans="1:14" ht="43.8" thickBot="1" x14ac:dyDescent="0.35">
      <c r="A26" s="29"/>
      <c r="B26" s="29"/>
      <c r="C26" s="29">
        <v>24</v>
      </c>
      <c r="D26" s="29" t="s">
        <v>152</v>
      </c>
      <c r="E26" s="48" t="s">
        <v>153</v>
      </c>
      <c r="F26" s="29" t="s">
        <v>108</v>
      </c>
      <c r="G26" s="29"/>
      <c r="H26" s="29" t="s">
        <v>109</v>
      </c>
      <c r="I26" s="29"/>
      <c r="J26" s="29" t="s">
        <v>101</v>
      </c>
      <c r="K26" s="29" t="s">
        <v>105</v>
      </c>
      <c r="L26" s="29" t="s">
        <v>102</v>
      </c>
      <c r="M26" s="29" t="s">
        <v>87</v>
      </c>
      <c r="N26" s="29"/>
    </row>
    <row r="27" spans="1:14" ht="43.8" thickBot="1" x14ac:dyDescent="0.35">
      <c r="A27" s="29"/>
      <c r="B27" s="29"/>
      <c r="C27" s="29">
        <v>25</v>
      </c>
      <c r="D27" s="29" t="s">
        <v>154</v>
      </c>
      <c r="E27" s="48" t="s">
        <v>155</v>
      </c>
      <c r="F27" s="29" t="s">
        <v>108</v>
      </c>
      <c r="G27" s="29"/>
      <c r="H27" s="29" t="s">
        <v>109</v>
      </c>
      <c r="I27" s="29"/>
      <c r="J27" s="29" t="s">
        <v>101</v>
      </c>
      <c r="K27" s="29" t="s">
        <v>105</v>
      </c>
      <c r="L27" s="29" t="s">
        <v>102</v>
      </c>
      <c r="M27" s="29" t="s">
        <v>87</v>
      </c>
      <c r="N27" s="29"/>
    </row>
    <row r="28" spans="1:14" ht="44.25" customHeight="1" thickBot="1" x14ac:dyDescent="0.35">
      <c r="A28" s="29"/>
      <c r="B28" s="29"/>
      <c r="C28" s="29">
        <v>26</v>
      </c>
      <c r="D28" s="29" t="s">
        <v>156</v>
      </c>
      <c r="E28" s="48" t="s">
        <v>157</v>
      </c>
      <c r="F28" s="29" t="s">
        <v>108</v>
      </c>
      <c r="G28" s="29"/>
      <c r="H28" s="29" t="s">
        <v>109</v>
      </c>
      <c r="I28" s="29"/>
      <c r="J28" s="29" t="s">
        <v>101</v>
      </c>
      <c r="K28" s="29" t="s">
        <v>105</v>
      </c>
      <c r="L28" s="29" t="s">
        <v>102</v>
      </c>
      <c r="M28" s="29" t="s">
        <v>87</v>
      </c>
      <c r="N28" s="29"/>
    </row>
    <row r="29" spans="1:14" ht="43.8" thickBot="1" x14ac:dyDescent="0.35">
      <c r="A29" s="29"/>
      <c r="B29" s="29"/>
      <c r="C29" s="29">
        <v>27</v>
      </c>
      <c r="D29" s="29" t="s">
        <v>158</v>
      </c>
      <c r="E29" s="48" t="s">
        <v>159</v>
      </c>
      <c r="F29" s="29" t="s">
        <v>108</v>
      </c>
      <c r="G29" s="29"/>
      <c r="H29" s="29" t="s">
        <v>109</v>
      </c>
      <c r="I29" s="29"/>
      <c r="J29" s="29" t="s">
        <v>101</v>
      </c>
      <c r="K29" s="29" t="s">
        <v>105</v>
      </c>
      <c r="L29" s="29" t="s">
        <v>102</v>
      </c>
      <c r="M29" s="29" t="s">
        <v>87</v>
      </c>
      <c r="N29" s="29"/>
    </row>
    <row r="30" spans="1:14" ht="59.25" customHeight="1" thickBot="1" x14ac:dyDescent="0.35">
      <c r="A30" s="29"/>
      <c r="B30" s="29"/>
      <c r="C30" s="29">
        <v>28</v>
      </c>
      <c r="D30" s="29" t="s">
        <v>160</v>
      </c>
      <c r="E30" s="48" t="s">
        <v>161</v>
      </c>
      <c r="F30" s="29" t="s">
        <v>108</v>
      </c>
      <c r="G30" s="29"/>
      <c r="H30" s="29" t="s">
        <v>109</v>
      </c>
      <c r="I30" s="29"/>
      <c r="J30" s="29" t="s">
        <v>101</v>
      </c>
      <c r="K30" s="29" t="s">
        <v>105</v>
      </c>
      <c r="L30" s="29" t="s">
        <v>102</v>
      </c>
      <c r="M30" s="29" t="s">
        <v>87</v>
      </c>
      <c r="N30" s="29"/>
    </row>
    <row r="31" spans="1:14" ht="43.8" thickBot="1" x14ac:dyDescent="0.35">
      <c r="A31" s="29"/>
      <c r="B31" s="29"/>
      <c r="C31" s="29">
        <v>29</v>
      </c>
      <c r="D31" s="29" t="s">
        <v>162</v>
      </c>
      <c r="E31" s="48" t="s">
        <v>163</v>
      </c>
      <c r="F31" s="29" t="s">
        <v>108</v>
      </c>
      <c r="G31" s="29"/>
      <c r="H31" s="29" t="s">
        <v>109</v>
      </c>
      <c r="I31" s="29"/>
      <c r="J31" s="29" t="s">
        <v>101</v>
      </c>
      <c r="K31" s="29" t="s">
        <v>105</v>
      </c>
      <c r="L31" s="29" t="s">
        <v>102</v>
      </c>
      <c r="M31" s="29" t="s">
        <v>87</v>
      </c>
      <c r="N31" s="29"/>
    </row>
    <row r="32" spans="1:14" ht="43.8" thickBot="1" x14ac:dyDescent="0.35">
      <c r="A32" s="29"/>
      <c r="B32" s="29"/>
      <c r="C32" s="29">
        <v>30</v>
      </c>
      <c r="D32" s="29" t="s">
        <v>164</v>
      </c>
      <c r="E32" s="48" t="s">
        <v>165</v>
      </c>
      <c r="F32" s="29" t="s">
        <v>108</v>
      </c>
      <c r="G32" s="29"/>
      <c r="H32" s="29" t="s">
        <v>109</v>
      </c>
      <c r="I32" s="29"/>
      <c r="J32" s="29" t="s">
        <v>101</v>
      </c>
      <c r="K32" s="29" t="s">
        <v>105</v>
      </c>
      <c r="L32" s="29" t="s">
        <v>102</v>
      </c>
      <c r="M32" s="29" t="s">
        <v>87</v>
      </c>
      <c r="N32" s="29"/>
    </row>
    <row r="33" spans="1:14" ht="43.8" thickBot="1" x14ac:dyDescent="0.35">
      <c r="A33" s="29"/>
      <c r="B33" s="29"/>
      <c r="C33" s="29">
        <v>31</v>
      </c>
      <c r="D33" s="29" t="s">
        <v>166</v>
      </c>
      <c r="E33" s="48" t="s">
        <v>167</v>
      </c>
      <c r="F33" s="29" t="s">
        <v>108</v>
      </c>
      <c r="G33" s="29"/>
      <c r="H33" s="29" t="s">
        <v>109</v>
      </c>
      <c r="I33" s="29"/>
      <c r="J33" s="29" t="s">
        <v>101</v>
      </c>
      <c r="K33" s="29" t="s">
        <v>105</v>
      </c>
      <c r="L33" s="29" t="s">
        <v>102</v>
      </c>
      <c r="M33" s="29" t="s">
        <v>87</v>
      </c>
      <c r="N33" s="29"/>
    </row>
    <row r="34" spans="1:14" ht="44.25" customHeight="1" thickBot="1" x14ac:dyDescent="0.35">
      <c r="A34" s="29"/>
      <c r="B34" s="29"/>
      <c r="C34" s="29">
        <v>32</v>
      </c>
      <c r="D34" s="29" t="s">
        <v>168</v>
      </c>
      <c r="E34" s="48" t="s">
        <v>169</v>
      </c>
      <c r="F34" s="29" t="s">
        <v>108</v>
      </c>
      <c r="G34" s="29"/>
      <c r="H34" s="29" t="s">
        <v>109</v>
      </c>
      <c r="I34" s="29"/>
      <c r="J34" s="29" t="s">
        <v>101</v>
      </c>
      <c r="K34" s="29" t="s">
        <v>105</v>
      </c>
      <c r="L34" s="29" t="s">
        <v>102</v>
      </c>
      <c r="M34" s="29" t="s">
        <v>87</v>
      </c>
      <c r="N34" s="29"/>
    </row>
    <row r="35" spans="1:14" ht="43.8" thickBot="1" x14ac:dyDescent="0.35">
      <c r="A35" s="29"/>
      <c r="B35" s="29"/>
      <c r="C35" s="29">
        <v>33</v>
      </c>
      <c r="D35" s="29" t="s">
        <v>170</v>
      </c>
      <c r="E35" s="48" t="s">
        <v>171</v>
      </c>
      <c r="F35" s="29" t="s">
        <v>108</v>
      </c>
      <c r="G35" s="29"/>
      <c r="H35" s="29" t="s">
        <v>109</v>
      </c>
      <c r="I35" s="29"/>
      <c r="J35" s="29" t="s">
        <v>101</v>
      </c>
      <c r="K35" s="29" t="s">
        <v>105</v>
      </c>
      <c r="L35" s="29" t="s">
        <v>102</v>
      </c>
      <c r="M35" s="29" t="s">
        <v>87</v>
      </c>
      <c r="N35" s="29"/>
    </row>
    <row r="36" spans="1:14" ht="44.25" customHeight="1" thickBot="1" x14ac:dyDescent="0.35">
      <c r="A36" s="29"/>
      <c r="B36" s="29"/>
      <c r="C36" s="29">
        <v>34</v>
      </c>
      <c r="D36" s="29" t="s">
        <v>172</v>
      </c>
      <c r="E36" s="48" t="s">
        <v>173</v>
      </c>
      <c r="F36" s="29" t="s">
        <v>108</v>
      </c>
      <c r="G36" s="29"/>
      <c r="H36" s="29" t="s">
        <v>109</v>
      </c>
      <c r="I36" s="29"/>
      <c r="J36" s="29" t="s">
        <v>101</v>
      </c>
      <c r="K36" s="29" t="s">
        <v>105</v>
      </c>
      <c r="L36" s="29" t="s">
        <v>102</v>
      </c>
      <c r="M36" s="29" t="s">
        <v>87</v>
      </c>
      <c r="N36" s="29"/>
    </row>
    <row r="37" spans="1:14" ht="43.8" thickBot="1" x14ac:dyDescent="0.35">
      <c r="A37" s="29"/>
      <c r="B37" s="29"/>
      <c r="C37" s="29">
        <v>35</v>
      </c>
      <c r="D37" s="29" t="s">
        <v>174</v>
      </c>
      <c r="E37" s="48" t="s">
        <v>175</v>
      </c>
      <c r="F37" s="29" t="s">
        <v>108</v>
      </c>
      <c r="G37" s="29"/>
      <c r="H37" s="29" t="s">
        <v>109</v>
      </c>
      <c r="I37" s="29"/>
      <c r="J37" s="29" t="s">
        <v>101</v>
      </c>
      <c r="K37" s="29" t="s">
        <v>105</v>
      </c>
      <c r="L37" s="29" t="s">
        <v>102</v>
      </c>
      <c r="M37" s="29" t="s">
        <v>87</v>
      </c>
      <c r="N37" s="29"/>
    </row>
    <row r="38" spans="1:14" ht="43.8" thickBot="1" x14ac:dyDescent="0.35">
      <c r="A38" s="29"/>
      <c r="B38" s="29"/>
      <c r="C38" s="29">
        <v>36</v>
      </c>
      <c r="D38" s="29" t="s">
        <v>176</v>
      </c>
      <c r="E38" s="48" t="s">
        <v>177</v>
      </c>
      <c r="F38" s="29" t="s">
        <v>108</v>
      </c>
      <c r="G38" s="29"/>
      <c r="H38" s="29" t="s">
        <v>109</v>
      </c>
      <c r="I38" s="29"/>
      <c r="J38" s="29" t="s">
        <v>101</v>
      </c>
      <c r="K38" s="29" t="s">
        <v>105</v>
      </c>
      <c r="L38" s="29" t="s">
        <v>102</v>
      </c>
      <c r="M38" s="29" t="s">
        <v>87</v>
      </c>
      <c r="N38" s="29"/>
    </row>
    <row r="39" spans="1:14" ht="43.8" thickBot="1" x14ac:dyDescent="0.35">
      <c r="A39" s="29"/>
      <c r="B39" s="29"/>
      <c r="C39" s="29">
        <v>37</v>
      </c>
      <c r="D39" s="29" t="s">
        <v>178</v>
      </c>
      <c r="E39" s="48" t="s">
        <v>179</v>
      </c>
      <c r="F39" s="29" t="s">
        <v>108</v>
      </c>
      <c r="G39" s="29"/>
      <c r="H39" s="29" t="s">
        <v>109</v>
      </c>
      <c r="I39" s="29"/>
      <c r="J39" s="29" t="s">
        <v>101</v>
      </c>
      <c r="K39" s="29" t="s">
        <v>105</v>
      </c>
      <c r="L39" s="29" t="s">
        <v>102</v>
      </c>
      <c r="M39" s="29" t="s">
        <v>87</v>
      </c>
      <c r="N39" s="29"/>
    </row>
    <row r="40" spans="1:14" ht="15" thickBot="1" x14ac:dyDescent="0.35">
      <c r="A40" s="27" t="s">
        <v>225</v>
      </c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1:14" ht="87" thickBot="1" x14ac:dyDescent="0.35">
      <c r="A41" s="29" t="s">
        <v>88</v>
      </c>
      <c r="B41" s="29" t="s">
        <v>89</v>
      </c>
      <c r="C41" s="29" t="s">
        <v>99</v>
      </c>
      <c r="D41" s="29" t="s">
        <v>90</v>
      </c>
      <c r="E41" s="29" t="s">
        <v>91</v>
      </c>
      <c r="F41" s="29" t="s">
        <v>92</v>
      </c>
      <c r="G41" s="29" t="s">
        <v>93</v>
      </c>
      <c r="H41" s="29" t="s">
        <v>94</v>
      </c>
      <c r="I41" s="29" t="s">
        <v>95</v>
      </c>
      <c r="J41" s="29" t="s">
        <v>96</v>
      </c>
      <c r="K41" s="29" t="s">
        <v>97</v>
      </c>
      <c r="L41" s="29" t="s">
        <v>98</v>
      </c>
      <c r="M41"/>
      <c r="N41"/>
    </row>
    <row r="42" spans="1:14" ht="28.8" x14ac:dyDescent="0.3">
      <c r="A42" s="76">
        <v>1</v>
      </c>
      <c r="B42" s="76" t="s">
        <v>293</v>
      </c>
      <c r="C42" s="30" t="s">
        <v>294</v>
      </c>
      <c r="D42" s="76"/>
      <c r="E42" s="76"/>
      <c r="F42" s="76" t="s">
        <v>296</v>
      </c>
      <c r="G42" s="76"/>
      <c r="H42" s="76" t="s">
        <v>296</v>
      </c>
      <c r="I42" s="76" t="s">
        <v>297</v>
      </c>
      <c r="J42" s="76" t="s">
        <v>298</v>
      </c>
      <c r="K42" s="76" t="s">
        <v>87</v>
      </c>
      <c r="L42" s="76" t="s">
        <v>299</v>
      </c>
      <c r="M42"/>
      <c r="N42"/>
    </row>
    <row r="43" spans="1:14" x14ac:dyDescent="0.3">
      <c r="A43" s="81"/>
      <c r="B43" s="81"/>
      <c r="C43" s="37"/>
      <c r="D43" s="81"/>
      <c r="E43" s="81"/>
      <c r="F43" s="81"/>
      <c r="G43" s="81"/>
      <c r="H43" s="81"/>
      <c r="I43" s="81"/>
      <c r="J43" s="81"/>
      <c r="K43" s="81"/>
      <c r="L43" s="81"/>
      <c r="M43"/>
      <c r="N43"/>
    </row>
    <row r="44" spans="1:14" ht="28.8" x14ac:dyDescent="0.3">
      <c r="A44" s="81"/>
      <c r="B44" s="81"/>
      <c r="C44" s="32" t="s">
        <v>295</v>
      </c>
      <c r="D44" s="81"/>
      <c r="E44" s="81"/>
      <c r="F44" s="81"/>
      <c r="G44" s="81"/>
      <c r="H44" s="81"/>
      <c r="I44" s="81"/>
      <c r="J44" s="81"/>
      <c r="K44" s="81"/>
      <c r="L44" s="81"/>
      <c r="M44"/>
      <c r="N44"/>
    </row>
    <row r="45" spans="1:14" ht="15" thickBot="1" x14ac:dyDescent="0.35">
      <c r="A45" s="77"/>
      <c r="B45" s="77"/>
      <c r="C45" s="31"/>
      <c r="D45" s="77"/>
      <c r="E45" s="77"/>
      <c r="F45" s="77"/>
      <c r="G45" s="77"/>
      <c r="H45" s="77"/>
      <c r="I45" s="77"/>
      <c r="J45" s="77"/>
      <c r="K45" s="77"/>
      <c r="L45" s="77"/>
      <c r="M45"/>
      <c r="N45"/>
    </row>
    <row r="46" spans="1:14" ht="15" thickBot="1" x14ac:dyDescent="0.35">
      <c r="A46" s="29">
        <v>2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/>
      <c r="N46"/>
    </row>
    <row r="47" spans="1:14" ht="15" thickBot="1" x14ac:dyDescent="0.35">
      <c r="A47" s="29">
        <v>3</v>
      </c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/>
      <c r="N47"/>
    </row>
    <row r="48" spans="1:14" ht="15" thickBot="1" x14ac:dyDescent="0.35">
      <c r="A48" s="27" t="s">
        <v>227</v>
      </c>
      <c r="B48"/>
      <c r="C48"/>
      <c r="D48"/>
      <c r="E48"/>
      <c r="F48"/>
      <c r="G48"/>
      <c r="H48"/>
      <c r="I48"/>
      <c r="J48"/>
      <c r="K48"/>
      <c r="L48"/>
      <c r="M48"/>
      <c r="N48"/>
    </row>
    <row r="49" spans="1:14" ht="87" thickBot="1" x14ac:dyDescent="0.35">
      <c r="A49" s="29" t="s">
        <v>88</v>
      </c>
      <c r="B49" s="29" t="s">
        <v>89</v>
      </c>
      <c r="C49" s="29" t="s">
        <v>99</v>
      </c>
      <c r="D49" s="29" t="s">
        <v>90</v>
      </c>
      <c r="E49" s="29" t="s">
        <v>91</v>
      </c>
      <c r="F49" s="29" t="s">
        <v>92</v>
      </c>
      <c r="G49" s="29" t="s">
        <v>93</v>
      </c>
      <c r="H49" s="29" t="s">
        <v>94</v>
      </c>
      <c r="I49" s="29" t="s">
        <v>95</v>
      </c>
      <c r="J49" s="29" t="s">
        <v>96</v>
      </c>
      <c r="K49" s="29" t="s">
        <v>97</v>
      </c>
      <c r="L49" s="29" t="s">
        <v>98</v>
      </c>
      <c r="M49"/>
      <c r="N49"/>
    </row>
    <row r="50" spans="1:14" ht="44.25" customHeight="1" thickBot="1" x14ac:dyDescent="0.35">
      <c r="A50" s="29">
        <v>1</v>
      </c>
      <c r="B50" s="29" t="s">
        <v>300</v>
      </c>
      <c r="C50" s="29" t="s">
        <v>301</v>
      </c>
      <c r="D50" s="29"/>
      <c r="E50" s="29" t="s">
        <v>302</v>
      </c>
      <c r="F50" s="29" t="s">
        <v>303</v>
      </c>
      <c r="G50" s="29" t="s">
        <v>304</v>
      </c>
      <c r="H50" s="29" t="s">
        <v>305</v>
      </c>
      <c r="I50" s="29" t="s">
        <v>253</v>
      </c>
      <c r="J50" s="29" t="s">
        <v>306</v>
      </c>
      <c r="K50" s="29"/>
      <c r="L50" s="29" t="s">
        <v>307</v>
      </c>
      <c r="M50"/>
      <c r="N50"/>
    </row>
    <row r="51" spans="1:14" ht="72.599999999999994" thickBot="1" x14ac:dyDescent="0.35">
      <c r="A51" s="29">
        <v>2</v>
      </c>
      <c r="B51" s="29" t="s">
        <v>300</v>
      </c>
      <c r="C51" s="29" t="s">
        <v>301</v>
      </c>
      <c r="D51" s="29"/>
      <c r="E51" s="29" t="s">
        <v>308</v>
      </c>
      <c r="F51" s="29" t="s">
        <v>303</v>
      </c>
      <c r="G51" s="29" t="s">
        <v>304</v>
      </c>
      <c r="H51" s="29" t="s">
        <v>305</v>
      </c>
      <c r="I51" s="29" t="s">
        <v>253</v>
      </c>
      <c r="J51" s="29" t="s">
        <v>306</v>
      </c>
      <c r="K51" s="29"/>
      <c r="L51" s="29" t="s">
        <v>309</v>
      </c>
      <c r="M51"/>
      <c r="N51"/>
    </row>
    <row r="52" spans="1:14" ht="115.8" thickBot="1" x14ac:dyDescent="0.35">
      <c r="A52" s="29">
        <v>3</v>
      </c>
      <c r="B52" s="29" t="s">
        <v>300</v>
      </c>
      <c r="C52" s="29" t="s">
        <v>301</v>
      </c>
      <c r="D52" s="29" t="s">
        <v>310</v>
      </c>
      <c r="E52" s="29"/>
      <c r="F52" s="29" t="s">
        <v>303</v>
      </c>
      <c r="G52" s="29" t="s">
        <v>304</v>
      </c>
      <c r="H52" s="29" t="s">
        <v>305</v>
      </c>
      <c r="I52" s="29" t="s">
        <v>105</v>
      </c>
      <c r="J52" s="29" t="s">
        <v>306</v>
      </c>
      <c r="K52" s="29"/>
      <c r="L52" s="29" t="s">
        <v>311</v>
      </c>
      <c r="M52"/>
      <c r="N52"/>
    </row>
    <row r="53" spans="1:14" ht="72.599999999999994" thickBot="1" x14ac:dyDescent="0.35">
      <c r="A53" s="29">
        <v>4</v>
      </c>
      <c r="B53" s="29" t="s">
        <v>300</v>
      </c>
      <c r="C53" s="29" t="s">
        <v>301</v>
      </c>
      <c r="D53" s="29"/>
      <c r="E53" s="29" t="s">
        <v>312</v>
      </c>
      <c r="F53" s="29" t="s">
        <v>303</v>
      </c>
      <c r="G53" s="29" t="s">
        <v>304</v>
      </c>
      <c r="H53" s="29" t="s">
        <v>305</v>
      </c>
      <c r="I53" s="29" t="s">
        <v>253</v>
      </c>
      <c r="J53" s="29" t="s">
        <v>306</v>
      </c>
      <c r="K53" s="29"/>
      <c r="L53" s="29" t="s">
        <v>313</v>
      </c>
      <c r="M53"/>
      <c r="N53"/>
    </row>
    <row r="54" spans="1:14" x14ac:dyDescent="0.3">
      <c r="A54" s="27" t="s">
        <v>229</v>
      </c>
      <c r="B54"/>
      <c r="C54"/>
      <c r="D54"/>
      <c r="E54"/>
      <c r="F54"/>
      <c r="G54"/>
      <c r="H54"/>
      <c r="I54"/>
      <c r="J54"/>
      <c r="K54"/>
      <c r="L54"/>
      <c r="M54"/>
      <c r="N54"/>
    </row>
    <row r="55" spans="1:14" ht="86.4" x14ac:dyDescent="0.3">
      <c r="A55" s="42" t="s">
        <v>88</v>
      </c>
      <c r="B55" s="42" t="s">
        <v>89</v>
      </c>
      <c r="C55" s="42" t="s">
        <v>314</v>
      </c>
      <c r="D55" s="42" t="s">
        <v>315</v>
      </c>
      <c r="E55" s="42" t="s">
        <v>91</v>
      </c>
      <c r="F55" s="42" t="s">
        <v>92</v>
      </c>
      <c r="G55" s="42" t="s">
        <v>93</v>
      </c>
      <c r="H55" s="42" t="s">
        <v>94</v>
      </c>
      <c r="I55" s="42" t="s">
        <v>95</v>
      </c>
      <c r="J55" s="42" t="s">
        <v>96</v>
      </c>
      <c r="K55" s="42" t="s">
        <v>97</v>
      </c>
      <c r="L55" s="42" t="s">
        <v>98</v>
      </c>
      <c r="M55"/>
      <c r="N55"/>
    </row>
    <row r="56" spans="1:14" ht="43.2" x14ac:dyDescent="0.3">
      <c r="A56" s="42">
        <v>1</v>
      </c>
      <c r="B56" s="42" t="s">
        <v>316</v>
      </c>
      <c r="C56" s="42" t="s">
        <v>182</v>
      </c>
      <c r="D56" s="42"/>
      <c r="E56" s="42"/>
      <c r="F56" s="42"/>
      <c r="G56" s="42" t="s">
        <v>317</v>
      </c>
      <c r="H56" s="42" t="s">
        <v>318</v>
      </c>
      <c r="I56" s="42" t="s">
        <v>253</v>
      </c>
      <c r="J56" s="42" t="s">
        <v>254</v>
      </c>
      <c r="K56" s="42" t="s">
        <v>230</v>
      </c>
      <c r="L56" s="42"/>
      <c r="M56"/>
      <c r="N56"/>
    </row>
    <row r="57" spans="1:14" ht="43.2" x14ac:dyDescent="0.3">
      <c r="A57" s="42">
        <v>2</v>
      </c>
      <c r="B57" s="42" t="s">
        <v>319</v>
      </c>
      <c r="C57" s="42" t="s">
        <v>183</v>
      </c>
      <c r="D57" s="42"/>
      <c r="E57" s="42"/>
      <c r="F57" s="42"/>
      <c r="G57" s="42" t="s">
        <v>317</v>
      </c>
      <c r="H57" s="42" t="s">
        <v>318</v>
      </c>
      <c r="I57" s="42" t="s">
        <v>253</v>
      </c>
      <c r="J57" s="42" t="s">
        <v>254</v>
      </c>
      <c r="K57" s="42" t="s">
        <v>230</v>
      </c>
      <c r="L57" s="42"/>
      <c r="M57"/>
      <c r="N57"/>
    </row>
    <row r="58" spans="1:14" ht="43.2" x14ac:dyDescent="0.3">
      <c r="A58" s="42">
        <v>3</v>
      </c>
      <c r="B58" s="42" t="s">
        <v>320</v>
      </c>
      <c r="C58" s="42" t="s">
        <v>184</v>
      </c>
      <c r="D58" s="42"/>
      <c r="E58" s="42"/>
      <c r="F58" s="42"/>
      <c r="G58" s="42" t="s">
        <v>317</v>
      </c>
      <c r="H58" s="42" t="s">
        <v>318</v>
      </c>
      <c r="I58" s="42" t="s">
        <v>253</v>
      </c>
      <c r="J58" s="42" t="s">
        <v>254</v>
      </c>
      <c r="K58" s="42" t="s">
        <v>230</v>
      </c>
      <c r="L58" s="42"/>
      <c r="M58"/>
      <c r="N58"/>
    </row>
    <row r="59" spans="1:14" ht="43.2" x14ac:dyDescent="0.3">
      <c r="A59" s="42">
        <v>4</v>
      </c>
      <c r="B59" s="42" t="s">
        <v>321</v>
      </c>
      <c r="C59" s="42" t="s">
        <v>185</v>
      </c>
      <c r="D59" s="42"/>
      <c r="E59" s="42"/>
      <c r="F59" s="42"/>
      <c r="G59" s="42" t="s">
        <v>317</v>
      </c>
      <c r="H59" s="42" t="s">
        <v>318</v>
      </c>
      <c r="I59" s="42" t="s">
        <v>253</v>
      </c>
      <c r="J59" s="42" t="s">
        <v>254</v>
      </c>
      <c r="K59" s="42" t="s">
        <v>230</v>
      </c>
      <c r="L59" s="42"/>
      <c r="M59"/>
      <c r="N59"/>
    </row>
    <row r="60" spans="1:14" x14ac:dyDescent="0.3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/>
      <c r="N60"/>
    </row>
    <row r="61" spans="1:14" x14ac:dyDescent="0.3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/>
      <c r="N61"/>
    </row>
    <row r="62" spans="1:14" ht="15" thickBot="1" x14ac:dyDescent="0.35">
      <c r="A62" s="27" t="s">
        <v>231</v>
      </c>
      <c r="B62"/>
      <c r="C62"/>
      <c r="D62"/>
      <c r="E62"/>
      <c r="F62"/>
      <c r="G62"/>
      <c r="H62"/>
      <c r="I62"/>
      <c r="J62"/>
      <c r="K62"/>
      <c r="L62"/>
      <c r="M62"/>
      <c r="N62"/>
    </row>
    <row r="63" spans="1:14" ht="46.5" customHeight="1" thickBot="1" x14ac:dyDescent="0.35">
      <c r="A63" s="29" t="s">
        <v>88</v>
      </c>
      <c r="B63" s="29" t="s">
        <v>89</v>
      </c>
      <c r="C63" s="29" t="s">
        <v>99</v>
      </c>
      <c r="D63" s="29" t="s">
        <v>90</v>
      </c>
      <c r="E63" s="29" t="s">
        <v>91</v>
      </c>
      <c r="F63" s="29" t="s">
        <v>92</v>
      </c>
      <c r="G63" s="29" t="s">
        <v>93</v>
      </c>
      <c r="H63" s="29" t="s">
        <v>94</v>
      </c>
      <c r="I63" s="29" t="s">
        <v>95</v>
      </c>
      <c r="J63" s="29" t="s">
        <v>96</v>
      </c>
      <c r="K63" s="29" t="s">
        <v>97</v>
      </c>
      <c r="L63" s="29" t="s">
        <v>98</v>
      </c>
      <c r="M63"/>
      <c r="N63"/>
    </row>
    <row r="64" spans="1:14" x14ac:dyDescent="0.3">
      <c r="A64" s="76">
        <v>1</v>
      </c>
      <c r="B64" s="76" t="s">
        <v>322</v>
      </c>
      <c r="C64" s="53" t="s">
        <v>180</v>
      </c>
      <c r="D64" s="76"/>
      <c r="E64" s="76"/>
      <c r="F64" s="76"/>
      <c r="G64" s="76"/>
      <c r="H64" s="76"/>
      <c r="I64" s="76"/>
      <c r="J64" s="76"/>
      <c r="K64" s="76"/>
      <c r="L64" s="76"/>
      <c r="M64"/>
      <c r="N64"/>
    </row>
    <row r="65" spans="1:14" ht="43.8" thickBot="1" x14ac:dyDescent="0.35">
      <c r="A65" s="77"/>
      <c r="B65" s="77"/>
      <c r="C65" s="54" t="s">
        <v>323</v>
      </c>
      <c r="D65" s="77"/>
      <c r="E65" s="77"/>
      <c r="F65" s="77"/>
      <c r="G65" s="77"/>
      <c r="H65" s="77"/>
      <c r="I65" s="77"/>
      <c r="J65" s="77"/>
      <c r="K65" s="77"/>
      <c r="L65" s="77"/>
      <c r="M65"/>
      <c r="N65"/>
    </row>
    <row r="66" spans="1:14" x14ac:dyDescent="0.3">
      <c r="A66" s="76">
        <v>2</v>
      </c>
      <c r="B66" s="76" t="s">
        <v>324</v>
      </c>
      <c r="C66" s="53" t="s">
        <v>181</v>
      </c>
      <c r="D66" s="76"/>
      <c r="E66" s="76"/>
      <c r="F66" s="76"/>
      <c r="G66" s="76"/>
      <c r="H66" s="76"/>
      <c r="I66" s="76"/>
      <c r="J66" s="76"/>
      <c r="K66" s="76"/>
      <c r="L66" s="76"/>
      <c r="M66"/>
      <c r="N66"/>
    </row>
    <row r="67" spans="1:14" ht="43.8" thickBot="1" x14ac:dyDescent="0.35">
      <c r="A67" s="77"/>
      <c r="B67" s="77"/>
      <c r="C67" s="54" t="s">
        <v>325</v>
      </c>
      <c r="D67" s="77"/>
      <c r="E67" s="77"/>
      <c r="F67" s="77"/>
      <c r="G67" s="77"/>
      <c r="H67" s="77"/>
      <c r="I67" s="77"/>
      <c r="J67" s="77"/>
      <c r="K67" s="77"/>
      <c r="L67" s="77"/>
      <c r="M67"/>
      <c r="N67"/>
    </row>
    <row r="68" spans="1:14" ht="15" thickBot="1" x14ac:dyDescent="0.35">
      <c r="A68" s="29">
        <v>3</v>
      </c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/>
      <c r="N68"/>
    </row>
    <row r="69" spans="1:14" ht="15" thickBot="1" x14ac:dyDescent="0.35">
      <c r="A69" s="27" t="s">
        <v>232</v>
      </c>
      <c r="B69"/>
      <c r="C69"/>
      <c r="D69"/>
      <c r="E69"/>
      <c r="F69"/>
      <c r="G69"/>
      <c r="H69"/>
      <c r="I69"/>
      <c r="J69"/>
      <c r="K69"/>
      <c r="L69"/>
      <c r="M69"/>
      <c r="N69"/>
    </row>
    <row r="70" spans="1:14" ht="87" thickBot="1" x14ac:dyDescent="0.35">
      <c r="A70" s="29" t="s">
        <v>88</v>
      </c>
      <c r="B70" s="29" t="s">
        <v>89</v>
      </c>
      <c r="C70" s="29" t="s">
        <v>99</v>
      </c>
      <c r="D70" s="29" t="s">
        <v>90</v>
      </c>
      <c r="E70" s="29" t="s">
        <v>91</v>
      </c>
      <c r="F70" s="29" t="s">
        <v>92</v>
      </c>
      <c r="G70" s="29" t="s">
        <v>93</v>
      </c>
      <c r="H70" s="29" t="s">
        <v>94</v>
      </c>
      <c r="I70" s="29" t="s">
        <v>95</v>
      </c>
      <c r="J70" s="29" t="s">
        <v>96</v>
      </c>
      <c r="K70" s="29" t="s">
        <v>97</v>
      </c>
      <c r="L70" s="29" t="s">
        <v>98</v>
      </c>
      <c r="M70"/>
      <c r="N70"/>
    </row>
    <row r="71" spans="1:14" ht="15" thickBot="1" x14ac:dyDescent="0.35">
      <c r="A71" s="29">
        <v>1</v>
      </c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/>
      <c r="N71"/>
    </row>
    <row r="72" spans="1:14" ht="15" thickBot="1" x14ac:dyDescent="0.35">
      <c r="A72" s="29">
        <v>2</v>
      </c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/>
      <c r="N72"/>
    </row>
    <row r="73" spans="1:14" ht="15" thickBot="1" x14ac:dyDescent="0.35">
      <c r="A73" s="29">
        <v>3</v>
      </c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/>
      <c r="N73"/>
    </row>
    <row r="74" spans="1:14" ht="15" thickBot="1" x14ac:dyDescent="0.35">
      <c r="A74" s="27" t="s">
        <v>234</v>
      </c>
      <c r="B74"/>
      <c r="C74"/>
      <c r="D74"/>
      <c r="E74"/>
      <c r="F74"/>
      <c r="G74"/>
      <c r="H74"/>
      <c r="I74"/>
      <c r="J74"/>
      <c r="K74"/>
      <c r="L74"/>
      <c r="M74"/>
      <c r="N74"/>
    </row>
    <row r="75" spans="1:14" ht="87" thickBot="1" x14ac:dyDescent="0.35">
      <c r="A75" s="29" t="s">
        <v>88</v>
      </c>
      <c r="B75" s="29" t="s">
        <v>89</v>
      </c>
      <c r="C75" s="29" t="s">
        <v>99</v>
      </c>
      <c r="D75" s="29" t="s">
        <v>90</v>
      </c>
      <c r="E75" s="29" t="s">
        <v>91</v>
      </c>
      <c r="F75" s="29" t="s">
        <v>92</v>
      </c>
      <c r="G75" s="29" t="s">
        <v>93</v>
      </c>
      <c r="H75" s="29" t="s">
        <v>94</v>
      </c>
      <c r="I75" s="29" t="s">
        <v>95</v>
      </c>
      <c r="J75" s="29" t="s">
        <v>96</v>
      </c>
      <c r="K75" s="29" t="s">
        <v>97</v>
      </c>
      <c r="L75" s="29" t="s">
        <v>98</v>
      </c>
      <c r="M75"/>
      <c r="N75"/>
    </row>
    <row r="76" spans="1:14" ht="29.4" thickBot="1" x14ac:dyDescent="0.35">
      <c r="A76" s="29">
        <v>1</v>
      </c>
      <c r="B76" s="29" t="s">
        <v>326</v>
      </c>
      <c r="C76" s="29" t="s">
        <v>187</v>
      </c>
      <c r="D76" s="29"/>
      <c r="E76" s="29"/>
      <c r="F76" s="29" t="s">
        <v>327</v>
      </c>
      <c r="G76" s="29" t="s">
        <v>327</v>
      </c>
      <c r="H76" s="29" t="s">
        <v>327</v>
      </c>
      <c r="I76" s="29" t="s">
        <v>297</v>
      </c>
      <c r="J76" s="29" t="s">
        <v>328</v>
      </c>
      <c r="K76" s="29"/>
      <c r="L76" s="29"/>
      <c r="M76"/>
      <c r="N76"/>
    </row>
    <row r="77" spans="1:14" ht="15" thickBot="1" x14ac:dyDescent="0.35">
      <c r="A77" s="29">
        <v>2</v>
      </c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/>
      <c r="N77"/>
    </row>
    <row r="78" spans="1:14" ht="15" thickBot="1" x14ac:dyDescent="0.35">
      <c r="A78" s="29">
        <v>3</v>
      </c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/>
      <c r="N78"/>
    </row>
    <row r="79" spans="1:14" ht="15" thickBot="1" x14ac:dyDescent="0.35">
      <c r="A79" s="27" t="s">
        <v>236</v>
      </c>
      <c r="B79"/>
      <c r="C79"/>
      <c r="D79"/>
      <c r="E79"/>
      <c r="F79"/>
      <c r="G79"/>
      <c r="H79"/>
      <c r="I79"/>
      <c r="J79"/>
      <c r="K79"/>
      <c r="L79"/>
      <c r="M79"/>
      <c r="N79"/>
    </row>
    <row r="80" spans="1:14" ht="87" thickBot="1" x14ac:dyDescent="0.35">
      <c r="A80" s="29" t="s">
        <v>88</v>
      </c>
      <c r="B80" s="29" t="s">
        <v>89</v>
      </c>
      <c r="C80" s="29" t="s">
        <v>99</v>
      </c>
      <c r="D80" s="29" t="s">
        <v>90</v>
      </c>
      <c r="E80" s="29" t="s">
        <v>91</v>
      </c>
      <c r="F80" s="29" t="s">
        <v>92</v>
      </c>
      <c r="G80" s="29" t="s">
        <v>93</v>
      </c>
      <c r="H80" s="29" t="s">
        <v>94</v>
      </c>
      <c r="I80" s="29" t="s">
        <v>95</v>
      </c>
      <c r="J80" s="29" t="s">
        <v>96</v>
      </c>
      <c r="K80" s="29" t="s">
        <v>97</v>
      </c>
      <c r="L80" s="29" t="s">
        <v>98</v>
      </c>
      <c r="M80"/>
      <c r="N80"/>
    </row>
    <row r="81" spans="1:14" ht="89.25" customHeight="1" thickBot="1" x14ac:dyDescent="0.35">
      <c r="A81" s="29">
        <v>1</v>
      </c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/>
      <c r="N81"/>
    </row>
    <row r="82" spans="1:14" ht="15" thickBot="1" x14ac:dyDescent="0.35">
      <c r="A82" s="29">
        <v>2</v>
      </c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/>
      <c r="N82"/>
    </row>
    <row r="83" spans="1:14" ht="15" thickBot="1" x14ac:dyDescent="0.35">
      <c r="A83" s="29">
        <v>3</v>
      </c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/>
      <c r="N83"/>
    </row>
    <row r="84" spans="1:14" ht="15" thickBot="1" x14ac:dyDescent="0.35">
      <c r="A84" s="27" t="s">
        <v>238</v>
      </c>
      <c r="B84"/>
      <c r="C84"/>
      <c r="D84"/>
      <c r="E84"/>
      <c r="F84"/>
      <c r="G84"/>
      <c r="H84"/>
      <c r="I84"/>
      <c r="J84"/>
      <c r="K84"/>
      <c r="L84"/>
      <c r="M84"/>
      <c r="N84"/>
    </row>
    <row r="85" spans="1:14" ht="87" thickBot="1" x14ac:dyDescent="0.35">
      <c r="A85" s="29" t="s">
        <v>88</v>
      </c>
      <c r="B85" s="29" t="s">
        <v>89</v>
      </c>
      <c r="C85" s="29" t="s">
        <v>99</v>
      </c>
      <c r="D85" s="29" t="s">
        <v>90</v>
      </c>
      <c r="E85" s="29" t="s">
        <v>91</v>
      </c>
      <c r="F85" s="29" t="s">
        <v>92</v>
      </c>
      <c r="G85" s="29" t="s">
        <v>93</v>
      </c>
      <c r="H85" s="29" t="s">
        <v>94</v>
      </c>
      <c r="I85" s="29" t="s">
        <v>95</v>
      </c>
      <c r="J85" s="29" t="s">
        <v>96</v>
      </c>
      <c r="K85" s="29" t="s">
        <v>97</v>
      </c>
      <c r="L85" s="29" t="s">
        <v>98</v>
      </c>
      <c r="M85"/>
      <c r="N85"/>
    </row>
    <row r="86" spans="1:14" ht="29.4" thickBot="1" x14ac:dyDescent="0.35">
      <c r="A86" s="29">
        <v>1</v>
      </c>
      <c r="B86" s="29" t="s">
        <v>329</v>
      </c>
      <c r="C86" s="29" t="s">
        <v>205</v>
      </c>
      <c r="D86" s="29"/>
      <c r="E86" s="29" t="s">
        <v>330</v>
      </c>
      <c r="F86" s="29" t="s">
        <v>331</v>
      </c>
      <c r="G86" s="29" t="s">
        <v>332</v>
      </c>
      <c r="H86" s="29" t="s">
        <v>333</v>
      </c>
      <c r="I86" s="29" t="s">
        <v>253</v>
      </c>
      <c r="J86" s="29" t="s">
        <v>334</v>
      </c>
      <c r="K86" s="29"/>
      <c r="L86" s="29"/>
      <c r="M86"/>
      <c r="N86"/>
    </row>
    <row r="87" spans="1:14" ht="15" thickBot="1" x14ac:dyDescent="0.35">
      <c r="A87" s="29">
        <v>2</v>
      </c>
      <c r="B87" s="29" t="s">
        <v>335</v>
      </c>
      <c r="C87" s="29" t="s">
        <v>206</v>
      </c>
      <c r="D87" s="29"/>
      <c r="E87" s="29"/>
      <c r="F87" s="29"/>
      <c r="G87" s="29"/>
      <c r="H87" s="29"/>
      <c r="I87" s="29"/>
      <c r="J87" s="29"/>
      <c r="K87" s="29"/>
      <c r="L87" s="29"/>
      <c r="M87"/>
      <c r="N87"/>
    </row>
    <row r="88" spans="1:14" ht="15" thickBot="1" x14ac:dyDescent="0.35">
      <c r="A88" s="29">
        <v>3</v>
      </c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/>
      <c r="N88"/>
    </row>
    <row r="89" spans="1:14" ht="15" thickBot="1" x14ac:dyDescent="0.35">
      <c r="A89" s="27" t="s">
        <v>239</v>
      </c>
      <c r="B89"/>
      <c r="C89"/>
      <c r="D89"/>
      <c r="E89"/>
      <c r="F89"/>
      <c r="G89"/>
      <c r="H89"/>
      <c r="I89"/>
      <c r="J89"/>
      <c r="K89"/>
      <c r="L89"/>
      <c r="M89"/>
      <c r="N89"/>
    </row>
    <row r="90" spans="1:14" ht="87" thickBot="1" x14ac:dyDescent="0.35">
      <c r="A90" s="29" t="s">
        <v>88</v>
      </c>
      <c r="B90" s="29" t="s">
        <v>89</v>
      </c>
      <c r="C90" s="29" t="s">
        <v>99</v>
      </c>
      <c r="D90" s="29" t="s">
        <v>90</v>
      </c>
      <c r="E90" s="29" t="s">
        <v>91</v>
      </c>
      <c r="F90" s="29" t="s">
        <v>92</v>
      </c>
      <c r="G90" s="29" t="s">
        <v>93</v>
      </c>
      <c r="H90" s="29" t="s">
        <v>94</v>
      </c>
      <c r="I90" s="29" t="s">
        <v>95</v>
      </c>
      <c r="J90" s="29" t="s">
        <v>96</v>
      </c>
      <c r="K90" s="29" t="s">
        <v>97</v>
      </c>
      <c r="L90" s="29" t="s">
        <v>98</v>
      </c>
      <c r="M90"/>
      <c r="N90"/>
    </row>
    <row r="91" spans="1:14" ht="58.2" thickBot="1" x14ac:dyDescent="0.35">
      <c r="A91" s="29" t="s">
        <v>336</v>
      </c>
      <c r="B91" s="29" t="s">
        <v>337</v>
      </c>
      <c r="C91" s="29" t="s">
        <v>207</v>
      </c>
      <c r="D91" s="29">
        <v>253924</v>
      </c>
      <c r="E91" s="29" t="s">
        <v>338</v>
      </c>
      <c r="F91" s="29" t="s">
        <v>339</v>
      </c>
      <c r="G91" s="29" t="s">
        <v>340</v>
      </c>
      <c r="H91" s="29" t="s">
        <v>341</v>
      </c>
      <c r="I91" s="29" t="s">
        <v>342</v>
      </c>
      <c r="J91" s="29" t="s">
        <v>338</v>
      </c>
      <c r="K91" s="29" t="s">
        <v>343</v>
      </c>
      <c r="L91" s="29" t="s">
        <v>344</v>
      </c>
      <c r="M91"/>
      <c r="N91"/>
    </row>
    <row r="92" spans="1:14" ht="43.8" thickBot="1" x14ac:dyDescent="0.35">
      <c r="A92" s="29" t="s">
        <v>345</v>
      </c>
      <c r="B92" s="29" t="s">
        <v>346</v>
      </c>
      <c r="C92" s="29" t="s">
        <v>208</v>
      </c>
      <c r="D92" s="29" t="s">
        <v>347</v>
      </c>
      <c r="E92" s="29" t="s">
        <v>347</v>
      </c>
      <c r="F92" s="29" t="s">
        <v>339</v>
      </c>
      <c r="G92" s="29" t="s">
        <v>340</v>
      </c>
      <c r="H92" s="29" t="s">
        <v>341</v>
      </c>
      <c r="I92" s="29" t="s">
        <v>342</v>
      </c>
      <c r="J92" s="29" t="s">
        <v>347</v>
      </c>
      <c r="K92" s="29" t="s">
        <v>343</v>
      </c>
      <c r="L92" s="29"/>
      <c r="M92"/>
      <c r="N92"/>
    </row>
    <row r="93" spans="1:14" ht="43.8" thickBot="1" x14ac:dyDescent="0.35">
      <c r="A93" s="29" t="s">
        <v>348</v>
      </c>
      <c r="B93" s="29" t="s">
        <v>346</v>
      </c>
      <c r="C93" s="29" t="s">
        <v>209</v>
      </c>
      <c r="D93" s="29" t="s">
        <v>347</v>
      </c>
      <c r="E93" s="29" t="s">
        <v>347</v>
      </c>
      <c r="F93" s="29" t="s">
        <v>339</v>
      </c>
      <c r="G93" s="29" t="s">
        <v>340</v>
      </c>
      <c r="H93" s="29" t="s">
        <v>341</v>
      </c>
      <c r="I93" s="29" t="s">
        <v>342</v>
      </c>
      <c r="J93" s="29" t="s">
        <v>347</v>
      </c>
      <c r="K93" s="29" t="s">
        <v>343</v>
      </c>
      <c r="L93" s="29"/>
      <c r="M93"/>
      <c r="N93"/>
    </row>
    <row r="94" spans="1:14" ht="15" thickBot="1" x14ac:dyDescent="0.35">
      <c r="A94" s="27" t="s">
        <v>241</v>
      </c>
      <c r="B94"/>
      <c r="C94"/>
      <c r="D94"/>
      <c r="E94"/>
      <c r="F94"/>
      <c r="G94"/>
      <c r="H94"/>
      <c r="I94"/>
      <c r="J94"/>
      <c r="K94"/>
      <c r="L94"/>
      <c r="M94"/>
      <c r="N94"/>
    </row>
    <row r="95" spans="1:14" ht="87" thickBot="1" x14ac:dyDescent="0.35">
      <c r="A95" s="29" t="s">
        <v>88</v>
      </c>
      <c r="B95" s="29" t="s">
        <v>89</v>
      </c>
      <c r="C95" s="29" t="s">
        <v>99</v>
      </c>
      <c r="D95" s="29" t="s">
        <v>90</v>
      </c>
      <c r="E95" s="29" t="s">
        <v>91</v>
      </c>
      <c r="F95" s="29" t="s">
        <v>92</v>
      </c>
      <c r="G95" s="29" t="s">
        <v>93</v>
      </c>
      <c r="H95" s="29" t="s">
        <v>94</v>
      </c>
      <c r="I95" s="29" t="s">
        <v>95</v>
      </c>
      <c r="J95" s="29" t="s">
        <v>96</v>
      </c>
      <c r="K95" s="29" t="s">
        <v>97</v>
      </c>
      <c r="L95" s="29" t="s">
        <v>98</v>
      </c>
      <c r="M95"/>
      <c r="N95"/>
    </row>
    <row r="96" spans="1:14" ht="29.4" thickBot="1" x14ac:dyDescent="0.35">
      <c r="A96" s="29">
        <v>1</v>
      </c>
      <c r="B96" s="29" t="s">
        <v>349</v>
      </c>
      <c r="C96" s="29" t="s">
        <v>210</v>
      </c>
      <c r="D96" s="29"/>
      <c r="E96" s="29"/>
      <c r="F96" s="29" t="s">
        <v>350</v>
      </c>
      <c r="G96" s="29" t="s">
        <v>351</v>
      </c>
      <c r="H96" s="29" t="s">
        <v>352</v>
      </c>
      <c r="I96" s="29" t="s">
        <v>253</v>
      </c>
      <c r="J96" s="29" t="s">
        <v>353</v>
      </c>
      <c r="K96" s="29"/>
      <c r="L96" s="29"/>
      <c r="M96"/>
      <c r="N96"/>
    </row>
    <row r="97" spans="1:14" ht="15" thickBot="1" x14ac:dyDescent="0.35">
      <c r="A97" s="29">
        <v>2</v>
      </c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/>
      <c r="N97"/>
    </row>
    <row r="98" spans="1:14" ht="15" thickBot="1" x14ac:dyDescent="0.35">
      <c r="A98" s="29">
        <v>3</v>
      </c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/>
      <c r="N98"/>
    </row>
    <row r="99" spans="1:14" ht="15" thickBot="1" x14ac:dyDescent="0.35">
      <c r="A99" s="27" t="s">
        <v>243</v>
      </c>
      <c r="B99"/>
      <c r="C99"/>
      <c r="D99"/>
      <c r="E99"/>
      <c r="F99"/>
      <c r="G99"/>
      <c r="H99"/>
      <c r="I99"/>
      <c r="J99"/>
      <c r="K99"/>
      <c r="L99"/>
      <c r="M99"/>
      <c r="N99"/>
    </row>
    <row r="100" spans="1:14" ht="87" thickBot="1" x14ac:dyDescent="0.35">
      <c r="A100" s="29" t="s">
        <v>88</v>
      </c>
      <c r="B100" s="29" t="s">
        <v>89</v>
      </c>
      <c r="C100" s="29" t="s">
        <v>99</v>
      </c>
      <c r="D100" s="29" t="s">
        <v>90</v>
      </c>
      <c r="E100" s="29" t="s">
        <v>91</v>
      </c>
      <c r="F100" s="29" t="s">
        <v>92</v>
      </c>
      <c r="G100" s="29" t="s">
        <v>93</v>
      </c>
      <c r="H100" s="29" t="s">
        <v>94</v>
      </c>
      <c r="I100" s="29" t="s">
        <v>95</v>
      </c>
      <c r="J100" s="29" t="s">
        <v>96</v>
      </c>
      <c r="K100" s="29" t="s">
        <v>97</v>
      </c>
      <c r="L100" s="29" t="s">
        <v>98</v>
      </c>
      <c r="M100"/>
      <c r="N100"/>
    </row>
    <row r="101" spans="1:14" ht="15" thickBot="1" x14ac:dyDescent="0.35">
      <c r="A101" s="29">
        <v>1</v>
      </c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/>
      <c r="N101"/>
    </row>
    <row r="102" spans="1:14" ht="15" thickBot="1" x14ac:dyDescent="0.35">
      <c r="A102" s="29">
        <v>2</v>
      </c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/>
      <c r="N102"/>
    </row>
    <row r="103" spans="1:14" ht="15" thickBot="1" x14ac:dyDescent="0.35">
      <c r="A103" s="29">
        <v>3</v>
      </c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/>
      <c r="N103"/>
    </row>
    <row r="104" spans="1:14" ht="15" thickBot="1" x14ac:dyDescent="0.35">
      <c r="A104" s="27" t="s">
        <v>245</v>
      </c>
      <c r="B104"/>
      <c r="C104"/>
      <c r="D104"/>
      <c r="E104"/>
      <c r="F104"/>
      <c r="G104"/>
      <c r="H104"/>
      <c r="I104"/>
      <c r="J104"/>
      <c r="K104"/>
      <c r="L104"/>
      <c r="M104"/>
      <c r="N104"/>
    </row>
    <row r="105" spans="1:14" ht="87" thickBot="1" x14ac:dyDescent="0.35">
      <c r="A105" s="29" t="s">
        <v>88</v>
      </c>
      <c r="B105" s="29" t="s">
        <v>89</v>
      </c>
      <c r="C105" s="29" t="s">
        <v>99</v>
      </c>
      <c r="D105" s="29" t="s">
        <v>90</v>
      </c>
      <c r="E105" s="29" t="s">
        <v>91</v>
      </c>
      <c r="F105" s="29" t="s">
        <v>92</v>
      </c>
      <c r="G105" s="29" t="s">
        <v>93</v>
      </c>
      <c r="H105" s="29" t="s">
        <v>94</v>
      </c>
      <c r="I105" s="29" t="s">
        <v>95</v>
      </c>
      <c r="J105" s="29" t="s">
        <v>96</v>
      </c>
      <c r="K105" s="29" t="s">
        <v>97</v>
      </c>
      <c r="L105" s="29" t="s">
        <v>98</v>
      </c>
      <c r="M105"/>
      <c r="N105"/>
    </row>
    <row r="106" spans="1:14" ht="15" thickBot="1" x14ac:dyDescent="0.35">
      <c r="A106" s="29">
        <v>1</v>
      </c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/>
      <c r="N106"/>
    </row>
    <row r="107" spans="1:14" ht="15" thickBot="1" x14ac:dyDescent="0.35">
      <c r="A107" s="29">
        <v>2</v>
      </c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/>
      <c r="N107"/>
    </row>
    <row r="108" spans="1:14" ht="15" thickBot="1" x14ac:dyDescent="0.35">
      <c r="A108" s="29">
        <v>3</v>
      </c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/>
      <c r="N108"/>
    </row>
    <row r="109" spans="1:14" ht="15" thickBot="1" x14ac:dyDescent="0.35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</row>
    <row r="110" spans="1:14" x14ac:dyDescent="0.3">
      <c r="A110" s="27"/>
      <c r="B110"/>
      <c r="C110"/>
      <c r="D110"/>
      <c r="E110"/>
      <c r="F110"/>
      <c r="G110"/>
      <c r="H110"/>
      <c r="I110"/>
      <c r="J110"/>
      <c r="K110"/>
      <c r="L110"/>
    </row>
    <row r="111" spans="1:14" x14ac:dyDescent="0.3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/>
    </row>
    <row r="112" spans="1:14" x14ac:dyDescent="0.3">
      <c r="A112" s="41"/>
      <c r="B112" s="41"/>
      <c r="C112" s="41"/>
      <c r="D112" s="42"/>
      <c r="E112" s="39"/>
      <c r="F112" s="42"/>
      <c r="G112" s="41"/>
      <c r="H112" s="41"/>
      <c r="I112" s="41"/>
      <c r="J112" s="41"/>
      <c r="K112" s="41"/>
      <c r="L112"/>
    </row>
    <row r="113" spans="1:12" ht="15" thickBot="1" x14ac:dyDescent="0.35">
      <c r="A113" s="27"/>
      <c r="B113"/>
      <c r="C113"/>
      <c r="D113"/>
      <c r="E113"/>
      <c r="F113"/>
      <c r="G113"/>
      <c r="H113"/>
      <c r="I113"/>
      <c r="J113"/>
      <c r="K113"/>
      <c r="L113"/>
    </row>
    <row r="114" spans="1:12" ht="15" thickBot="1" x14ac:dyDescent="0.35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</row>
    <row r="115" spans="1:12" ht="15" thickBot="1" x14ac:dyDescent="0.3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</row>
    <row r="116" spans="1:12" ht="15" thickBot="1" x14ac:dyDescent="0.35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</row>
    <row r="117" spans="1:12" ht="15" thickBot="1" x14ac:dyDescent="0.35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</row>
    <row r="118" spans="1:12" ht="15" thickBot="1" x14ac:dyDescent="0.35">
      <c r="A118" s="27"/>
      <c r="B118"/>
      <c r="C118"/>
      <c r="D118"/>
      <c r="E118"/>
      <c r="F118"/>
      <c r="G118"/>
      <c r="H118"/>
      <c r="I118"/>
      <c r="J118"/>
      <c r="K118"/>
      <c r="L118"/>
    </row>
    <row r="119" spans="1:12" ht="15" thickBot="1" x14ac:dyDescent="0.35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</row>
    <row r="120" spans="1:12" ht="15" thickBot="1" x14ac:dyDescent="0.35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</row>
    <row r="121" spans="1:12" ht="15" thickBot="1" x14ac:dyDescent="0.35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</row>
    <row r="122" spans="1:12" ht="15" thickBot="1" x14ac:dyDescent="0.35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</row>
    <row r="123" spans="1:12" ht="15" thickBot="1" x14ac:dyDescent="0.35">
      <c r="A123" s="27"/>
      <c r="B123"/>
      <c r="C123"/>
      <c r="D123"/>
      <c r="E123"/>
      <c r="F123"/>
      <c r="G123"/>
      <c r="H123"/>
      <c r="I123"/>
      <c r="J123"/>
      <c r="K123"/>
      <c r="L123"/>
    </row>
    <row r="124" spans="1:12" ht="15" thickBot="1" x14ac:dyDescent="0.35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</row>
    <row r="125" spans="1:12" ht="15" thickBot="1" x14ac:dyDescent="0.3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</row>
    <row r="126" spans="1:12" ht="15" thickBot="1" x14ac:dyDescent="0.35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</row>
    <row r="127" spans="1:12" ht="15" thickBot="1" x14ac:dyDescent="0.35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</row>
  </sheetData>
  <mergeCells count="33">
    <mergeCell ref="L66:L67"/>
    <mergeCell ref="G66:G67"/>
    <mergeCell ref="H66:H67"/>
    <mergeCell ref="I66:I67"/>
    <mergeCell ref="J66:J67"/>
    <mergeCell ref="K66:K67"/>
    <mergeCell ref="A66:A67"/>
    <mergeCell ref="B66:B67"/>
    <mergeCell ref="D66:D67"/>
    <mergeCell ref="E66:E67"/>
    <mergeCell ref="F66:F67"/>
    <mergeCell ref="L42:L45"/>
    <mergeCell ref="A64:A65"/>
    <mergeCell ref="B64:B65"/>
    <mergeCell ref="D64:D65"/>
    <mergeCell ref="E64:E65"/>
    <mergeCell ref="F64:F65"/>
    <mergeCell ref="G64:G65"/>
    <mergeCell ref="H64:H65"/>
    <mergeCell ref="I64:I65"/>
    <mergeCell ref="J64:J65"/>
    <mergeCell ref="K64:K65"/>
    <mergeCell ref="L64:L65"/>
    <mergeCell ref="G42:G45"/>
    <mergeCell ref="H42:H45"/>
    <mergeCell ref="I42:I45"/>
    <mergeCell ref="J42:J45"/>
    <mergeCell ref="K42:K45"/>
    <mergeCell ref="A42:A45"/>
    <mergeCell ref="B42:B45"/>
    <mergeCell ref="D42:D45"/>
    <mergeCell ref="E42:E45"/>
    <mergeCell ref="F42:F45"/>
  </mergeCells>
  <hyperlinks>
    <hyperlink ref="E4" r:id="rId1" xr:uid="{12240B6F-00E8-41D5-B9D3-2173B1E1B957}"/>
    <hyperlink ref="E5" r:id="rId2" xr:uid="{19747AF9-B4DF-40A0-B027-BD64404D8749}"/>
    <hyperlink ref="E6" r:id="rId3" xr:uid="{23A5A3BB-D7AC-4662-AF06-A320590BAF48}"/>
    <hyperlink ref="E7" r:id="rId4" xr:uid="{86A8601C-44BF-47DA-961C-5190F32A1C4B}"/>
    <hyperlink ref="E8" r:id="rId5" xr:uid="{738E04E0-ACB1-4709-B3BA-1FBDE10F39BB}"/>
    <hyperlink ref="E9" r:id="rId6" xr:uid="{7CE53E1B-F582-4D71-8659-BE1C3E5128B5}"/>
    <hyperlink ref="E10" r:id="rId7" xr:uid="{99470ECE-DD7F-4AE7-ABE3-91CD00CEDF49}"/>
    <hyperlink ref="E11" r:id="rId8" xr:uid="{0AD5A146-1DA7-4378-A83A-037C991DA5A5}"/>
    <hyperlink ref="E12" r:id="rId9" xr:uid="{E70DE41F-EB98-4A65-9FB7-4DA1641E9727}"/>
    <hyperlink ref="E13" r:id="rId10" xr:uid="{9FE72533-6A06-48BC-97AA-88EA2E6D5E6C}"/>
    <hyperlink ref="E14" r:id="rId11" xr:uid="{E4A690BF-8ADC-4E45-B33D-47CA197FCAE5}"/>
    <hyperlink ref="E15" r:id="rId12" xr:uid="{5B4DC3C4-D3D4-4860-B2D5-52B26497450F}"/>
    <hyperlink ref="E16" r:id="rId13" xr:uid="{EFAF4450-B86A-4943-9E5C-C3A96B311510}"/>
    <hyperlink ref="E17" r:id="rId14" xr:uid="{1C826871-BD9C-48D8-82B4-8E1B10F6A620}"/>
    <hyperlink ref="E18" r:id="rId15" xr:uid="{633B8FC8-2E94-42F6-B232-70E81D61D2C6}"/>
    <hyperlink ref="E19" r:id="rId16" xr:uid="{7D7E2CD4-6C26-464F-8449-0EC4884E17E1}"/>
    <hyperlink ref="E20" r:id="rId17" xr:uid="{994D90B1-9CBB-49C3-B387-90D2F8331C5C}"/>
    <hyperlink ref="E21" r:id="rId18" xr:uid="{BE545283-8331-43FC-9D75-B93EBF7DF7FF}"/>
    <hyperlink ref="E22" r:id="rId19" xr:uid="{0079D9C7-66D7-4B5B-A87C-BFFD93AF93DD}"/>
    <hyperlink ref="E23" r:id="rId20" xr:uid="{1E667728-32F1-478F-97F3-4BC401028522}"/>
    <hyperlink ref="E24" r:id="rId21" xr:uid="{0ECBA30C-1842-40B5-BDD2-FFAA5823C8EB}"/>
    <hyperlink ref="E25" r:id="rId22" xr:uid="{77D64E66-676B-4990-B0E9-1EB1C6B1868E}"/>
    <hyperlink ref="E26" r:id="rId23" xr:uid="{4709754C-083E-49A2-93B2-BF5D56071404}"/>
    <hyperlink ref="E27" r:id="rId24" xr:uid="{5EB0B8BC-7B34-4C9D-BE6D-59339A6B1C49}"/>
    <hyperlink ref="E28" r:id="rId25" xr:uid="{23D58383-E0D7-47FF-A0E1-92E9C8662345}"/>
    <hyperlink ref="E29" r:id="rId26" xr:uid="{718E7D6C-7D87-406F-8B02-318AED532DD2}"/>
    <hyperlink ref="E30" r:id="rId27" xr:uid="{A7BA107D-51C5-4156-A80B-66A75920D18D}"/>
    <hyperlink ref="E31" r:id="rId28" xr:uid="{1A51FE52-A3B7-420E-975B-A1E53A5DBA64}"/>
    <hyperlink ref="E32" r:id="rId29" xr:uid="{35816F84-CB4D-4294-BA3B-8EC335C4BBB3}"/>
    <hyperlink ref="E33" r:id="rId30" xr:uid="{266E575C-3DA9-4AD1-861E-85E5D6DCC8C8}"/>
    <hyperlink ref="E34" r:id="rId31" xr:uid="{8CF33E2F-1545-446C-AB8D-A0ECE7055D75}"/>
    <hyperlink ref="E35" r:id="rId32" xr:uid="{DD1FB97F-F626-42C8-A5C3-983A6D9D84C5}"/>
    <hyperlink ref="E36" r:id="rId33" xr:uid="{DEACEC89-D580-4129-ADFD-85334C35EDD6}"/>
    <hyperlink ref="E37" r:id="rId34" xr:uid="{19F289A0-D39B-48E2-86BE-FDB40E07F946}"/>
    <hyperlink ref="E38" r:id="rId35" xr:uid="{998981B5-C1B2-477B-8A60-CA2D16516497}"/>
    <hyperlink ref="E39" r:id="rId36" xr:uid="{8C8E71F8-ABF2-4B9F-AB87-B747BF2BB0BE}"/>
    <hyperlink ref="C64" r:id="rId37" display="https://dev.azure.com/realeitesorg/it.grma.rdna/_build/results?buildId=362451&amp;view=results" xr:uid="{079B59F5-355C-4AC9-82F9-D15056DB4F51}"/>
    <hyperlink ref="C65" r:id="rId38" xr:uid="{9732D512-1144-4371-9DF1-75EFF5FF629C}"/>
    <hyperlink ref="C66" r:id="rId39" display="https://dev.azure.com/realeitesorg/it.grma.rdna/_build/results?buildId=362463&amp;view=results" xr:uid="{C0696B6B-F800-4421-9A06-02117D18CBD7}"/>
    <hyperlink ref="C67" r:id="rId40" xr:uid="{AA9956FF-3D19-4485-B51F-813CB138258B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C9A24-D498-4E48-ADD4-CA00AB467855}">
  <sheetPr codeName="Foglio6">
    <tabColor theme="0"/>
  </sheetPr>
  <dimension ref="A1:F119"/>
  <sheetViews>
    <sheetView workbookViewId="0">
      <selection sqref="A1:XFD1048576"/>
    </sheetView>
  </sheetViews>
  <sheetFormatPr defaultRowHeight="14.4" x14ac:dyDescent="0.3"/>
  <sheetData>
    <row r="1" spans="1:6" ht="15" thickBot="1" x14ac:dyDescent="0.35">
      <c r="A1" s="27"/>
    </row>
    <row r="2" spans="1:6" ht="15" thickBot="1" x14ac:dyDescent="0.35">
      <c r="A2" s="29"/>
      <c r="B2" s="29"/>
      <c r="C2" s="29"/>
      <c r="D2" s="29"/>
      <c r="E2" s="29"/>
      <c r="F2" s="29"/>
    </row>
    <row r="3" spans="1:6" ht="15" thickBot="1" x14ac:dyDescent="0.35">
      <c r="A3" s="29"/>
      <c r="B3" s="29"/>
      <c r="C3" s="29"/>
      <c r="D3" s="29"/>
      <c r="E3" s="29"/>
      <c r="F3" s="29"/>
    </row>
    <row r="4" spans="1:6" ht="15" thickBot="1" x14ac:dyDescent="0.35">
      <c r="A4" s="29"/>
      <c r="B4" s="29"/>
      <c r="C4" s="29"/>
      <c r="D4" s="29"/>
      <c r="E4" s="29"/>
      <c r="F4" s="29"/>
    </row>
    <row r="5" spans="1:6" ht="15" thickBot="1" x14ac:dyDescent="0.35">
      <c r="A5" s="29"/>
      <c r="B5" s="29"/>
      <c r="C5" s="29"/>
      <c r="D5" s="29"/>
      <c r="E5" s="29"/>
      <c r="F5" s="29"/>
    </row>
    <row r="6" spans="1:6" ht="15" thickBot="1" x14ac:dyDescent="0.35">
      <c r="A6" s="29"/>
      <c r="B6" s="29"/>
      <c r="C6" s="29"/>
      <c r="D6" s="29"/>
      <c r="E6" s="29"/>
      <c r="F6" s="29"/>
    </row>
    <row r="7" spans="1:6" ht="15" thickBot="1" x14ac:dyDescent="0.35">
      <c r="A7" s="29"/>
      <c r="B7" s="29"/>
      <c r="C7" s="29"/>
      <c r="D7" s="29"/>
      <c r="E7" s="29"/>
      <c r="F7" s="29"/>
    </row>
    <row r="8" spans="1:6" ht="15" thickBot="1" x14ac:dyDescent="0.35">
      <c r="A8" s="27"/>
    </row>
    <row r="9" spans="1:6" ht="15" thickBot="1" x14ac:dyDescent="0.35">
      <c r="A9" s="29"/>
      <c r="B9" s="29"/>
      <c r="C9" s="29"/>
      <c r="D9" s="29"/>
      <c r="E9" s="29"/>
      <c r="F9" s="29"/>
    </row>
    <row r="10" spans="1:6" ht="15" thickBot="1" x14ac:dyDescent="0.35">
      <c r="A10" s="29"/>
      <c r="B10" s="29"/>
      <c r="C10" s="29"/>
      <c r="D10" s="29"/>
      <c r="E10" s="29"/>
      <c r="F10" s="29"/>
    </row>
    <row r="11" spans="1:6" ht="15" thickBot="1" x14ac:dyDescent="0.35">
      <c r="A11" s="29"/>
      <c r="B11" s="29"/>
      <c r="C11" s="29"/>
      <c r="D11" s="29"/>
      <c r="E11" s="29"/>
      <c r="F11" s="29"/>
    </row>
    <row r="12" spans="1:6" ht="15" thickBot="1" x14ac:dyDescent="0.35">
      <c r="A12" s="29"/>
      <c r="B12" s="29"/>
      <c r="C12" s="29"/>
      <c r="D12" s="29"/>
      <c r="E12" s="29"/>
      <c r="F12" s="29"/>
    </row>
    <row r="13" spans="1:6" ht="15" thickBot="1" x14ac:dyDescent="0.35">
      <c r="A13" s="29"/>
      <c r="B13" s="29"/>
      <c r="C13" s="29"/>
      <c r="D13" s="29"/>
      <c r="E13" s="29"/>
      <c r="F13" s="29"/>
    </row>
    <row r="14" spans="1:6" ht="15" thickBot="1" x14ac:dyDescent="0.35">
      <c r="A14" s="29"/>
      <c r="B14" s="29"/>
      <c r="C14" s="29"/>
      <c r="D14" s="29"/>
      <c r="E14" s="29"/>
      <c r="F14" s="29"/>
    </row>
    <row r="15" spans="1:6" ht="15" thickBot="1" x14ac:dyDescent="0.35">
      <c r="A15" s="27"/>
    </row>
    <row r="16" spans="1:6" ht="15" thickBot="1" x14ac:dyDescent="0.35">
      <c r="A16" s="29"/>
      <c r="B16" s="29"/>
      <c r="C16" s="29"/>
      <c r="D16" s="29"/>
      <c r="E16" s="29"/>
      <c r="F16" s="29"/>
    </row>
    <row r="17" spans="1:6" ht="15" thickBot="1" x14ac:dyDescent="0.35">
      <c r="A17" s="29"/>
      <c r="B17" s="29"/>
      <c r="C17" s="29"/>
      <c r="D17" s="29"/>
      <c r="E17" s="29"/>
      <c r="F17" s="29"/>
    </row>
    <row r="18" spans="1:6" ht="15" thickBot="1" x14ac:dyDescent="0.35">
      <c r="A18" s="29"/>
      <c r="B18" s="29"/>
      <c r="C18" s="29"/>
      <c r="D18" s="29"/>
      <c r="E18" s="29"/>
      <c r="F18" s="29"/>
    </row>
    <row r="19" spans="1:6" ht="15" thickBot="1" x14ac:dyDescent="0.35">
      <c r="A19" s="29"/>
      <c r="B19" s="29"/>
      <c r="C19" s="29"/>
      <c r="D19" s="29"/>
      <c r="E19" s="29"/>
      <c r="F19" s="29"/>
    </row>
    <row r="20" spans="1:6" ht="15" thickBot="1" x14ac:dyDescent="0.35">
      <c r="A20" s="29"/>
      <c r="B20" s="29"/>
      <c r="C20" s="29"/>
      <c r="D20" s="29"/>
      <c r="E20" s="29"/>
      <c r="F20" s="29"/>
    </row>
    <row r="21" spans="1:6" ht="15" thickBot="1" x14ac:dyDescent="0.35">
      <c r="A21" s="29"/>
      <c r="B21" s="29"/>
      <c r="C21" s="29"/>
      <c r="D21" s="29"/>
      <c r="E21" s="29"/>
      <c r="F21" s="29"/>
    </row>
    <row r="22" spans="1:6" ht="15" thickBot="1" x14ac:dyDescent="0.35">
      <c r="A22" s="27"/>
    </row>
    <row r="23" spans="1:6" ht="15" thickBot="1" x14ac:dyDescent="0.35">
      <c r="A23" s="29"/>
      <c r="B23" s="29"/>
      <c r="C23" s="29"/>
      <c r="D23" s="29"/>
      <c r="E23" s="29"/>
      <c r="F23" s="29"/>
    </row>
    <row r="24" spans="1:6" ht="15" thickBot="1" x14ac:dyDescent="0.35">
      <c r="A24" s="29"/>
      <c r="B24" s="29"/>
      <c r="C24" s="29"/>
      <c r="D24" s="29"/>
      <c r="E24" s="29"/>
      <c r="F24" s="29"/>
    </row>
    <row r="25" spans="1:6" ht="15" thickBot="1" x14ac:dyDescent="0.35">
      <c r="A25" s="29"/>
      <c r="B25" s="29"/>
      <c r="C25" s="29"/>
      <c r="D25" s="29"/>
      <c r="E25" s="29"/>
      <c r="F25" s="29"/>
    </row>
    <row r="26" spans="1:6" ht="15" thickBot="1" x14ac:dyDescent="0.35">
      <c r="A26" s="29"/>
      <c r="B26" s="29"/>
      <c r="C26" s="29"/>
      <c r="D26" s="29"/>
      <c r="E26" s="29"/>
      <c r="F26" s="29"/>
    </row>
    <row r="27" spans="1:6" ht="15" thickBot="1" x14ac:dyDescent="0.35">
      <c r="A27" s="29"/>
      <c r="B27" s="29"/>
      <c r="C27" s="29"/>
      <c r="D27" s="29"/>
      <c r="E27" s="29"/>
      <c r="F27" s="29"/>
    </row>
    <row r="28" spans="1:6" ht="15" thickBot="1" x14ac:dyDescent="0.35">
      <c r="A28" s="29"/>
      <c r="B28" s="29"/>
      <c r="C28" s="29"/>
      <c r="D28" s="29"/>
      <c r="E28" s="29"/>
      <c r="F28" s="29"/>
    </row>
    <row r="29" spans="1:6" ht="15" thickBot="1" x14ac:dyDescent="0.35">
      <c r="A29" s="27"/>
    </row>
    <row r="30" spans="1:6" ht="15" thickBot="1" x14ac:dyDescent="0.35">
      <c r="A30" s="29"/>
      <c r="B30" s="29"/>
      <c r="C30" s="29"/>
      <c r="D30" s="29"/>
      <c r="E30" s="29"/>
      <c r="F30" s="29"/>
    </row>
    <row r="31" spans="1:6" ht="15" thickBot="1" x14ac:dyDescent="0.35">
      <c r="A31" s="29"/>
      <c r="B31" s="29"/>
      <c r="C31" s="29"/>
      <c r="D31" s="29"/>
      <c r="E31" s="29"/>
      <c r="F31" s="29"/>
    </row>
    <row r="32" spans="1:6" ht="15" thickBot="1" x14ac:dyDescent="0.35">
      <c r="A32" s="29"/>
      <c r="B32" s="29"/>
      <c r="C32" s="29"/>
      <c r="D32" s="29"/>
      <c r="E32" s="29"/>
      <c r="F32" s="29"/>
    </row>
    <row r="33" spans="1:6" ht="15" thickBot="1" x14ac:dyDescent="0.35">
      <c r="A33" s="29"/>
      <c r="B33" s="29"/>
      <c r="C33" s="29"/>
      <c r="D33" s="29"/>
      <c r="E33" s="29"/>
      <c r="F33" s="29"/>
    </row>
    <row r="34" spans="1:6" ht="15" thickBot="1" x14ac:dyDescent="0.35">
      <c r="A34" s="29"/>
      <c r="B34" s="29"/>
      <c r="C34" s="29"/>
      <c r="D34" s="29"/>
      <c r="E34" s="29"/>
      <c r="F34" s="29"/>
    </row>
    <row r="35" spans="1:6" ht="15" thickBot="1" x14ac:dyDescent="0.35">
      <c r="A35" s="29"/>
      <c r="B35" s="29"/>
      <c r="C35" s="29"/>
      <c r="D35" s="29"/>
      <c r="E35" s="29"/>
      <c r="F35" s="29"/>
    </row>
    <row r="36" spans="1:6" ht="15" thickBot="1" x14ac:dyDescent="0.35">
      <c r="A36" s="27"/>
    </row>
    <row r="37" spans="1:6" ht="15" thickBot="1" x14ac:dyDescent="0.35">
      <c r="A37" s="29"/>
      <c r="B37" s="29"/>
      <c r="C37" s="29"/>
      <c r="D37" s="29"/>
      <c r="E37" s="29"/>
      <c r="F37" s="29"/>
    </row>
    <row r="38" spans="1:6" ht="15" thickBot="1" x14ac:dyDescent="0.35">
      <c r="A38" s="29"/>
      <c r="B38" s="29"/>
      <c r="C38" s="29"/>
      <c r="D38" s="29"/>
      <c r="E38" s="29"/>
      <c r="F38" s="29"/>
    </row>
    <row r="39" spans="1:6" ht="15" thickBot="1" x14ac:dyDescent="0.35">
      <c r="A39" s="29"/>
      <c r="B39" s="29"/>
      <c r="C39" s="29"/>
      <c r="D39" s="29"/>
      <c r="E39" s="29"/>
      <c r="F39" s="29"/>
    </row>
    <row r="40" spans="1:6" ht="15" thickBot="1" x14ac:dyDescent="0.35">
      <c r="A40" s="29"/>
      <c r="B40" s="29"/>
      <c r="C40" s="29"/>
      <c r="D40" s="29"/>
      <c r="E40" s="29"/>
      <c r="F40" s="29"/>
    </row>
    <row r="41" spans="1:6" ht="15" thickBot="1" x14ac:dyDescent="0.35">
      <c r="A41" s="29"/>
      <c r="B41" s="29"/>
      <c r="C41" s="29"/>
      <c r="D41" s="29"/>
      <c r="E41" s="29"/>
      <c r="F41" s="29"/>
    </row>
    <row r="42" spans="1:6" ht="15" thickBot="1" x14ac:dyDescent="0.35">
      <c r="A42" s="29"/>
      <c r="B42" s="29"/>
      <c r="C42" s="29"/>
      <c r="D42" s="29"/>
      <c r="E42" s="29"/>
      <c r="F42" s="29"/>
    </row>
    <row r="43" spans="1:6" ht="15" thickBot="1" x14ac:dyDescent="0.35">
      <c r="A43" s="27"/>
    </row>
    <row r="44" spans="1:6" ht="15" thickBot="1" x14ac:dyDescent="0.35">
      <c r="A44" s="29"/>
      <c r="B44" s="29"/>
      <c r="C44" s="29"/>
      <c r="D44" s="29"/>
      <c r="E44" s="29"/>
      <c r="F44" s="29"/>
    </row>
    <row r="45" spans="1:6" ht="15" thickBot="1" x14ac:dyDescent="0.35">
      <c r="A45" s="29"/>
      <c r="B45" s="29"/>
      <c r="C45" s="29"/>
      <c r="D45" s="29"/>
      <c r="E45" s="29"/>
      <c r="F45" s="29"/>
    </row>
    <row r="46" spans="1:6" ht="15" thickBot="1" x14ac:dyDescent="0.35">
      <c r="A46" s="29"/>
      <c r="B46" s="29"/>
      <c r="C46" s="29"/>
      <c r="D46" s="29"/>
      <c r="E46" s="29"/>
      <c r="F46" s="29"/>
    </row>
    <row r="47" spans="1:6" ht="15" thickBot="1" x14ac:dyDescent="0.35">
      <c r="A47" s="29"/>
      <c r="B47" s="29"/>
      <c r="C47" s="29"/>
      <c r="D47" s="29"/>
      <c r="E47" s="29"/>
      <c r="F47" s="29"/>
    </row>
    <row r="48" spans="1:6" ht="15" thickBot="1" x14ac:dyDescent="0.35">
      <c r="A48" s="29"/>
      <c r="B48" s="29"/>
      <c r="C48" s="29"/>
      <c r="D48" s="29"/>
      <c r="E48" s="29"/>
      <c r="F48" s="29"/>
    </row>
    <row r="49" spans="1:6" ht="15" thickBot="1" x14ac:dyDescent="0.35">
      <c r="A49" s="29"/>
      <c r="B49" s="29"/>
      <c r="C49" s="29"/>
      <c r="D49" s="29"/>
      <c r="E49" s="29"/>
      <c r="F49" s="29"/>
    </row>
    <row r="50" spans="1:6" ht="15" thickBot="1" x14ac:dyDescent="0.35">
      <c r="A50" s="27"/>
    </row>
    <row r="51" spans="1:6" ht="15" thickBot="1" x14ac:dyDescent="0.35">
      <c r="A51" s="29"/>
      <c r="B51" s="29"/>
      <c r="C51" s="29"/>
      <c r="D51" s="29"/>
      <c r="E51" s="29"/>
      <c r="F51" s="29"/>
    </row>
    <row r="52" spans="1:6" ht="15" thickBot="1" x14ac:dyDescent="0.35">
      <c r="A52" s="29"/>
      <c r="B52" s="29"/>
      <c r="C52" s="29"/>
      <c r="D52" s="29"/>
      <c r="E52" s="29"/>
      <c r="F52" s="29"/>
    </row>
    <row r="53" spans="1:6" ht="15" thickBot="1" x14ac:dyDescent="0.35">
      <c r="A53" s="29"/>
      <c r="B53" s="29"/>
      <c r="C53" s="29"/>
      <c r="D53" s="29"/>
      <c r="E53" s="29"/>
      <c r="F53" s="29"/>
    </row>
    <row r="54" spans="1:6" ht="15" thickBot="1" x14ac:dyDescent="0.35">
      <c r="A54" s="29"/>
      <c r="B54" s="29"/>
      <c r="C54" s="29"/>
      <c r="D54" s="29"/>
      <c r="E54" s="29"/>
      <c r="F54" s="29"/>
    </row>
    <row r="55" spans="1:6" ht="15" thickBot="1" x14ac:dyDescent="0.35">
      <c r="A55" s="29"/>
      <c r="B55" s="29"/>
      <c r="C55" s="29"/>
      <c r="D55" s="29"/>
      <c r="E55" s="29"/>
      <c r="F55" s="29"/>
    </row>
    <row r="56" spans="1:6" ht="15" thickBot="1" x14ac:dyDescent="0.35">
      <c r="A56" s="29"/>
      <c r="B56" s="29"/>
      <c r="C56" s="29"/>
      <c r="D56" s="29"/>
      <c r="E56" s="29"/>
      <c r="F56" s="29"/>
    </row>
    <row r="57" spans="1:6" ht="15" thickBot="1" x14ac:dyDescent="0.35">
      <c r="A57" s="27"/>
    </row>
    <row r="58" spans="1:6" ht="15" thickBot="1" x14ac:dyDescent="0.35">
      <c r="A58" s="29"/>
      <c r="B58" s="29"/>
      <c r="C58" s="29"/>
      <c r="D58" s="29"/>
      <c r="E58" s="29"/>
      <c r="F58" s="29"/>
    </row>
    <row r="59" spans="1:6" ht="15" thickBot="1" x14ac:dyDescent="0.35">
      <c r="A59" s="29"/>
      <c r="B59" s="29"/>
      <c r="C59" s="29"/>
      <c r="D59" s="29"/>
      <c r="E59" s="29"/>
      <c r="F59" s="29"/>
    </row>
    <row r="60" spans="1:6" ht="15" thickBot="1" x14ac:dyDescent="0.35">
      <c r="A60" s="29"/>
      <c r="B60" s="29"/>
      <c r="C60" s="29"/>
      <c r="D60" s="29"/>
      <c r="E60" s="29"/>
      <c r="F60" s="29"/>
    </row>
    <row r="61" spans="1:6" ht="15" thickBot="1" x14ac:dyDescent="0.35">
      <c r="A61" s="29"/>
      <c r="B61" s="29"/>
      <c r="C61" s="29"/>
      <c r="D61" s="29"/>
      <c r="E61" s="29"/>
      <c r="F61" s="29"/>
    </row>
    <row r="62" spans="1:6" ht="15" thickBot="1" x14ac:dyDescent="0.35">
      <c r="A62" s="29"/>
      <c r="B62" s="29"/>
      <c r="C62" s="29"/>
      <c r="D62" s="29"/>
      <c r="E62" s="29"/>
      <c r="F62" s="29"/>
    </row>
    <row r="63" spans="1:6" ht="15" thickBot="1" x14ac:dyDescent="0.35">
      <c r="A63" s="29"/>
      <c r="B63" s="29"/>
      <c r="C63" s="29"/>
      <c r="D63" s="29"/>
      <c r="E63" s="29"/>
      <c r="F63" s="29"/>
    </row>
    <row r="64" spans="1:6" ht="15" thickBot="1" x14ac:dyDescent="0.35">
      <c r="A64" s="27"/>
    </row>
    <row r="65" spans="1:6" ht="15" thickBot="1" x14ac:dyDescent="0.35">
      <c r="A65" s="29"/>
      <c r="B65" s="29"/>
      <c r="C65" s="29"/>
      <c r="D65" s="29"/>
      <c r="E65" s="29"/>
      <c r="F65" s="29"/>
    </row>
    <row r="66" spans="1:6" ht="15" thickBot="1" x14ac:dyDescent="0.35">
      <c r="A66" s="29"/>
      <c r="B66" s="29"/>
      <c r="C66" s="29"/>
      <c r="D66" s="29"/>
      <c r="E66" s="29"/>
      <c r="F66" s="29"/>
    </row>
    <row r="67" spans="1:6" ht="15" thickBot="1" x14ac:dyDescent="0.35">
      <c r="A67" s="29"/>
      <c r="B67" s="29"/>
      <c r="C67" s="29"/>
      <c r="D67" s="29"/>
      <c r="E67" s="29"/>
      <c r="F67" s="29"/>
    </row>
    <row r="68" spans="1:6" ht="15" thickBot="1" x14ac:dyDescent="0.35">
      <c r="A68" s="29"/>
      <c r="B68" s="29"/>
      <c r="C68" s="29"/>
      <c r="D68" s="29"/>
      <c r="E68" s="29"/>
      <c r="F68" s="29"/>
    </row>
    <row r="69" spans="1:6" ht="15" thickBot="1" x14ac:dyDescent="0.35">
      <c r="A69" s="29"/>
      <c r="B69" s="29"/>
      <c r="C69" s="29"/>
      <c r="D69" s="29"/>
      <c r="E69" s="29"/>
      <c r="F69" s="29"/>
    </row>
    <row r="70" spans="1:6" ht="15" thickBot="1" x14ac:dyDescent="0.35">
      <c r="A70" s="29"/>
      <c r="B70" s="29"/>
      <c r="C70" s="29"/>
      <c r="D70" s="29"/>
      <c r="E70" s="29"/>
      <c r="F70" s="29"/>
    </row>
    <row r="71" spans="1:6" ht="15" thickBot="1" x14ac:dyDescent="0.35">
      <c r="A71" s="27"/>
    </row>
    <row r="72" spans="1:6" ht="15" thickBot="1" x14ac:dyDescent="0.35">
      <c r="A72" s="29"/>
      <c r="B72" s="29"/>
      <c r="C72" s="29"/>
      <c r="D72" s="29"/>
      <c r="E72" s="29"/>
      <c r="F72" s="29"/>
    </row>
    <row r="73" spans="1:6" ht="15" thickBot="1" x14ac:dyDescent="0.35">
      <c r="A73" s="29"/>
      <c r="B73" s="29"/>
      <c r="C73" s="29"/>
      <c r="D73" s="29"/>
      <c r="E73" s="29"/>
      <c r="F73" s="29"/>
    </row>
    <row r="74" spans="1:6" ht="15" thickBot="1" x14ac:dyDescent="0.35">
      <c r="A74" s="29"/>
      <c r="B74" s="29"/>
      <c r="C74" s="29"/>
      <c r="D74" s="29"/>
      <c r="E74" s="29"/>
      <c r="F74" s="29"/>
    </row>
    <row r="75" spans="1:6" ht="15" thickBot="1" x14ac:dyDescent="0.35">
      <c r="A75" s="29"/>
      <c r="B75" s="29"/>
      <c r="C75" s="29"/>
      <c r="D75" s="29"/>
      <c r="E75" s="29"/>
      <c r="F75" s="29"/>
    </row>
    <row r="76" spans="1:6" ht="15" thickBot="1" x14ac:dyDescent="0.35">
      <c r="A76" s="29"/>
      <c r="B76" s="29"/>
      <c r="C76" s="29"/>
      <c r="D76" s="29"/>
      <c r="E76" s="29"/>
      <c r="F76" s="29"/>
    </row>
    <row r="77" spans="1:6" ht="15" thickBot="1" x14ac:dyDescent="0.35">
      <c r="A77" s="29"/>
      <c r="B77" s="29"/>
      <c r="C77" s="29"/>
      <c r="D77" s="29"/>
      <c r="E77" s="29"/>
      <c r="F77" s="29"/>
    </row>
    <row r="78" spans="1:6" ht="15" thickBot="1" x14ac:dyDescent="0.35">
      <c r="A78" s="27"/>
    </row>
    <row r="79" spans="1:6" ht="15" thickBot="1" x14ac:dyDescent="0.35">
      <c r="A79" s="29"/>
      <c r="B79" s="29"/>
      <c r="C79" s="29"/>
      <c r="D79" s="29"/>
      <c r="E79" s="29"/>
      <c r="F79" s="29"/>
    </row>
    <row r="80" spans="1:6" ht="15" thickBot="1" x14ac:dyDescent="0.35">
      <c r="A80" s="29"/>
      <c r="B80" s="29"/>
      <c r="C80" s="29"/>
      <c r="D80" s="29"/>
      <c r="E80" s="29"/>
      <c r="F80" s="29"/>
    </row>
    <row r="81" spans="1:6" ht="15" thickBot="1" x14ac:dyDescent="0.35">
      <c r="A81" s="29"/>
      <c r="B81" s="29"/>
      <c r="C81" s="29"/>
      <c r="D81" s="29"/>
      <c r="E81" s="29"/>
      <c r="F81" s="29"/>
    </row>
    <row r="82" spans="1:6" ht="15" thickBot="1" x14ac:dyDescent="0.35">
      <c r="A82" s="29"/>
      <c r="B82" s="29"/>
      <c r="C82" s="29"/>
      <c r="D82" s="29"/>
      <c r="E82" s="29"/>
      <c r="F82" s="29"/>
    </row>
    <row r="83" spans="1:6" ht="15" thickBot="1" x14ac:dyDescent="0.35">
      <c r="A83" s="29"/>
      <c r="B83" s="29"/>
      <c r="C83" s="29"/>
      <c r="D83" s="29"/>
      <c r="E83" s="29"/>
      <c r="F83" s="29"/>
    </row>
    <row r="84" spans="1:6" ht="15" thickBot="1" x14ac:dyDescent="0.35">
      <c r="A84" s="29"/>
      <c r="B84" s="29"/>
      <c r="C84" s="29"/>
      <c r="D84" s="29"/>
      <c r="E84" s="29"/>
      <c r="F84" s="29"/>
    </row>
    <row r="85" spans="1:6" ht="15" thickBot="1" x14ac:dyDescent="0.35">
      <c r="A85" s="27"/>
    </row>
    <row r="86" spans="1:6" ht="15" thickBot="1" x14ac:dyDescent="0.35">
      <c r="A86" s="29"/>
      <c r="B86" s="29"/>
      <c r="C86" s="29"/>
      <c r="D86" s="29"/>
      <c r="E86" s="29"/>
      <c r="F86" s="29"/>
    </row>
    <row r="87" spans="1:6" ht="15" thickBot="1" x14ac:dyDescent="0.35">
      <c r="A87" s="29"/>
      <c r="B87" s="29"/>
      <c r="C87" s="29"/>
      <c r="D87" s="29"/>
      <c r="E87" s="29"/>
      <c r="F87" s="29"/>
    </row>
    <row r="88" spans="1:6" ht="15" thickBot="1" x14ac:dyDescent="0.35">
      <c r="A88" s="29"/>
      <c r="B88" s="29"/>
      <c r="C88" s="29"/>
      <c r="D88" s="29"/>
      <c r="E88" s="29"/>
      <c r="F88" s="29"/>
    </row>
    <row r="89" spans="1:6" ht="15" thickBot="1" x14ac:dyDescent="0.35">
      <c r="A89" s="29"/>
      <c r="B89" s="29"/>
      <c r="C89" s="29"/>
      <c r="D89" s="29"/>
      <c r="E89" s="29"/>
      <c r="F89" s="29"/>
    </row>
    <row r="90" spans="1:6" ht="15" thickBot="1" x14ac:dyDescent="0.35">
      <c r="A90" s="29"/>
      <c r="B90" s="29"/>
      <c r="C90" s="29"/>
      <c r="D90" s="29"/>
      <c r="E90" s="29"/>
      <c r="F90" s="29"/>
    </row>
    <row r="91" spans="1:6" ht="15" thickBot="1" x14ac:dyDescent="0.35">
      <c r="A91" s="29"/>
      <c r="B91" s="29"/>
      <c r="C91" s="29"/>
      <c r="D91" s="29"/>
      <c r="E91" s="29"/>
      <c r="F91" s="29"/>
    </row>
    <row r="92" spans="1:6" ht="15" thickBot="1" x14ac:dyDescent="0.35">
      <c r="A92" s="27"/>
    </row>
    <row r="93" spans="1:6" ht="15" thickBot="1" x14ac:dyDescent="0.35">
      <c r="A93" s="29"/>
      <c r="B93" s="29"/>
      <c r="C93" s="29"/>
      <c r="D93" s="29"/>
      <c r="E93" s="29"/>
      <c r="F93" s="29"/>
    </row>
    <row r="94" spans="1:6" ht="15" thickBot="1" x14ac:dyDescent="0.35">
      <c r="A94" s="29"/>
      <c r="B94" s="29"/>
      <c r="C94" s="29"/>
      <c r="D94" s="29"/>
      <c r="E94" s="29"/>
      <c r="F94" s="29"/>
    </row>
    <row r="95" spans="1:6" ht="15" thickBot="1" x14ac:dyDescent="0.35">
      <c r="A95" s="29"/>
      <c r="B95" s="29"/>
      <c r="C95" s="29"/>
      <c r="D95" s="29"/>
      <c r="E95" s="29"/>
      <c r="F95" s="29"/>
    </row>
    <row r="96" spans="1:6" ht="15" thickBot="1" x14ac:dyDescent="0.35">
      <c r="A96" s="29"/>
      <c r="B96" s="29"/>
      <c r="C96" s="29"/>
      <c r="D96" s="29"/>
      <c r="E96" s="29"/>
      <c r="F96" s="29"/>
    </row>
    <row r="97" spans="1:6" ht="15" thickBot="1" x14ac:dyDescent="0.35">
      <c r="A97" s="29"/>
      <c r="B97" s="29"/>
      <c r="C97" s="29"/>
      <c r="D97" s="29"/>
      <c r="E97" s="29"/>
      <c r="F97" s="29"/>
    </row>
    <row r="98" spans="1:6" ht="15" thickBot="1" x14ac:dyDescent="0.35">
      <c r="A98" s="29"/>
      <c r="B98" s="29"/>
      <c r="C98" s="29"/>
      <c r="D98" s="29"/>
      <c r="E98" s="29"/>
      <c r="F98" s="29"/>
    </row>
    <row r="99" spans="1:6" ht="15" thickBot="1" x14ac:dyDescent="0.35">
      <c r="A99" s="27"/>
    </row>
    <row r="100" spans="1:6" ht="15" thickBot="1" x14ac:dyDescent="0.35">
      <c r="A100" s="29"/>
      <c r="B100" s="29"/>
      <c r="C100" s="29"/>
      <c r="D100" s="29"/>
      <c r="E100" s="29"/>
      <c r="F100" s="29"/>
    </row>
    <row r="101" spans="1:6" ht="15" thickBot="1" x14ac:dyDescent="0.35">
      <c r="A101" s="29"/>
      <c r="B101" s="29"/>
      <c r="C101" s="29"/>
      <c r="D101" s="29"/>
      <c r="E101" s="29"/>
      <c r="F101" s="29"/>
    </row>
    <row r="102" spans="1:6" ht="15" thickBot="1" x14ac:dyDescent="0.35">
      <c r="A102" s="29"/>
      <c r="B102" s="29"/>
      <c r="C102" s="29"/>
      <c r="D102" s="29"/>
      <c r="E102" s="29"/>
      <c r="F102" s="29"/>
    </row>
    <row r="103" spans="1:6" ht="15" thickBot="1" x14ac:dyDescent="0.35">
      <c r="A103" s="29"/>
      <c r="B103" s="29"/>
      <c r="C103" s="29"/>
      <c r="D103" s="29"/>
      <c r="E103" s="29"/>
      <c r="F103" s="29"/>
    </row>
    <row r="104" spans="1:6" ht="15" thickBot="1" x14ac:dyDescent="0.35">
      <c r="A104" s="29"/>
      <c r="B104" s="29"/>
      <c r="C104" s="29"/>
      <c r="D104" s="29"/>
      <c r="E104" s="29"/>
      <c r="F104" s="29"/>
    </row>
    <row r="105" spans="1:6" ht="15" thickBot="1" x14ac:dyDescent="0.35">
      <c r="A105" s="29"/>
      <c r="B105" s="29"/>
      <c r="C105" s="29"/>
      <c r="D105" s="29"/>
      <c r="E105" s="29"/>
      <c r="F105" s="29"/>
    </row>
    <row r="106" spans="1:6" ht="15" thickBot="1" x14ac:dyDescent="0.35">
      <c r="A106" s="27"/>
    </row>
    <row r="107" spans="1:6" ht="15" thickBot="1" x14ac:dyDescent="0.35">
      <c r="A107" s="29"/>
      <c r="B107" s="29"/>
      <c r="C107" s="29"/>
      <c r="D107" s="29"/>
      <c r="E107" s="29"/>
      <c r="F107" s="29"/>
    </row>
    <row r="108" spans="1:6" ht="15" thickBot="1" x14ac:dyDescent="0.35">
      <c r="A108" s="29"/>
      <c r="B108" s="29"/>
      <c r="C108" s="29"/>
      <c r="D108" s="29"/>
      <c r="E108" s="29"/>
      <c r="F108" s="29"/>
    </row>
    <row r="109" spans="1:6" ht="15" thickBot="1" x14ac:dyDescent="0.35">
      <c r="A109" s="29"/>
      <c r="B109" s="29"/>
      <c r="C109" s="29"/>
      <c r="D109" s="29"/>
      <c r="E109" s="29"/>
      <c r="F109" s="29"/>
    </row>
    <row r="110" spans="1:6" ht="15" thickBot="1" x14ac:dyDescent="0.35">
      <c r="A110" s="29"/>
      <c r="B110" s="29"/>
      <c r="C110" s="29"/>
      <c r="D110" s="29"/>
      <c r="E110" s="29"/>
      <c r="F110" s="29"/>
    </row>
    <row r="111" spans="1:6" ht="15" thickBot="1" x14ac:dyDescent="0.35">
      <c r="A111" s="29"/>
      <c r="B111" s="29"/>
      <c r="C111" s="29"/>
      <c r="D111" s="29"/>
      <c r="E111" s="29"/>
      <c r="F111" s="29"/>
    </row>
    <row r="112" spans="1:6" ht="15" thickBot="1" x14ac:dyDescent="0.35">
      <c r="A112" s="29"/>
      <c r="B112" s="29"/>
      <c r="C112" s="29"/>
      <c r="D112" s="29"/>
      <c r="E112" s="29"/>
      <c r="F112" s="29"/>
    </row>
    <row r="113" spans="1:6" ht="15" thickBot="1" x14ac:dyDescent="0.35">
      <c r="A113" s="27"/>
    </row>
    <row r="114" spans="1:6" ht="15" thickBot="1" x14ac:dyDescent="0.35">
      <c r="A114" s="29"/>
      <c r="B114" s="29"/>
      <c r="C114" s="29"/>
      <c r="D114" s="29"/>
      <c r="E114" s="29"/>
      <c r="F114" s="29"/>
    </row>
    <row r="115" spans="1:6" ht="15" thickBot="1" x14ac:dyDescent="0.35">
      <c r="A115" s="29"/>
      <c r="B115" s="29"/>
      <c r="C115" s="29"/>
      <c r="D115" s="29"/>
      <c r="E115" s="29"/>
      <c r="F115" s="29"/>
    </row>
    <row r="116" spans="1:6" ht="15" thickBot="1" x14ac:dyDescent="0.35">
      <c r="A116" s="29"/>
      <c r="B116" s="29"/>
      <c r="C116" s="29"/>
      <c r="D116" s="29"/>
      <c r="E116" s="29"/>
      <c r="F116" s="29"/>
    </row>
    <row r="117" spans="1:6" ht="15" thickBot="1" x14ac:dyDescent="0.35">
      <c r="A117" s="29"/>
      <c r="B117" s="29"/>
      <c r="C117" s="29"/>
      <c r="D117" s="29"/>
      <c r="E117" s="29"/>
      <c r="F117" s="29"/>
    </row>
    <row r="118" spans="1:6" ht="15" thickBot="1" x14ac:dyDescent="0.35">
      <c r="A118" s="29"/>
      <c r="B118" s="29"/>
      <c r="C118" s="29"/>
      <c r="D118" s="29"/>
      <c r="E118" s="29"/>
      <c r="F118" s="29"/>
    </row>
    <row r="119" spans="1:6" ht="15" thickBot="1" x14ac:dyDescent="0.35">
      <c r="A119" s="29"/>
      <c r="B119" s="29"/>
      <c r="C119" s="29"/>
      <c r="D119" s="29"/>
      <c r="E119" s="29"/>
      <c r="F119" s="2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1B51B-05FE-411E-9BA4-E2B4CAB292D2}">
  <sheetPr codeName="Foglio7">
    <tabColor theme="0"/>
  </sheetPr>
  <dimension ref="A1:G134"/>
  <sheetViews>
    <sheetView topLeftCell="A91" workbookViewId="0">
      <selection sqref="A1:F93"/>
    </sheetView>
  </sheetViews>
  <sheetFormatPr defaultRowHeight="14.4" x14ac:dyDescent="0.3"/>
  <cols>
    <col min="2" max="2" width="21.44140625" customWidth="1"/>
    <col min="3" max="3" width="24.21875" customWidth="1"/>
    <col min="4" max="4" width="20.21875" customWidth="1"/>
    <col min="5" max="5" width="18.77734375" customWidth="1"/>
    <col min="6" max="6" width="27.77734375" customWidth="1"/>
    <col min="7" max="7" width="27" customWidth="1"/>
  </cols>
  <sheetData>
    <row r="1" spans="1:7" ht="52.05" customHeight="1" thickBot="1" x14ac:dyDescent="0.35">
      <c r="A1" s="27" t="s">
        <v>223</v>
      </c>
    </row>
    <row r="2" spans="1:7" ht="43.8" thickBot="1" x14ac:dyDescent="0.35">
      <c r="A2" s="29" t="s">
        <v>88</v>
      </c>
      <c r="B2" s="29" t="s">
        <v>89</v>
      </c>
      <c r="C2" s="29" t="s">
        <v>188</v>
      </c>
      <c r="D2" s="29" t="s">
        <v>189</v>
      </c>
      <c r="E2" s="29" t="s">
        <v>190</v>
      </c>
      <c r="F2" s="29" t="s">
        <v>191</v>
      </c>
      <c r="G2" s="29"/>
    </row>
    <row r="3" spans="1:7" ht="15" thickBot="1" x14ac:dyDescent="0.35">
      <c r="A3" s="29">
        <v>1</v>
      </c>
      <c r="B3" s="29"/>
      <c r="C3" s="29"/>
      <c r="D3" s="29"/>
      <c r="E3" s="29"/>
      <c r="F3" s="29"/>
      <c r="G3" s="29"/>
    </row>
    <row r="4" spans="1:7" ht="36.6" customHeight="1" thickBot="1" x14ac:dyDescent="0.35">
      <c r="A4" s="29">
        <v>2</v>
      </c>
      <c r="B4" s="29"/>
      <c r="C4" s="29"/>
      <c r="D4" s="29"/>
      <c r="E4" s="29"/>
      <c r="F4" s="29"/>
      <c r="G4" s="29"/>
    </row>
    <row r="5" spans="1:7" ht="15" thickBot="1" x14ac:dyDescent="0.35">
      <c r="A5" s="29">
        <v>3</v>
      </c>
      <c r="B5" s="29"/>
      <c r="C5" s="29"/>
      <c r="D5" s="29"/>
      <c r="E5" s="29"/>
      <c r="F5" s="29"/>
      <c r="G5" s="29"/>
    </row>
    <row r="6" spans="1:7" ht="15" thickBot="1" x14ac:dyDescent="0.35">
      <c r="A6" s="29">
        <v>4</v>
      </c>
      <c r="B6" s="29"/>
      <c r="C6" s="29"/>
      <c r="D6" s="29"/>
      <c r="E6" s="29"/>
      <c r="F6" s="29"/>
      <c r="G6" s="29"/>
    </row>
    <row r="7" spans="1:7" ht="15" thickBot="1" x14ac:dyDescent="0.35">
      <c r="A7" s="29">
        <v>5</v>
      </c>
      <c r="B7" s="29"/>
      <c r="C7" s="29"/>
      <c r="D7" s="29"/>
      <c r="E7" s="29"/>
      <c r="F7" s="29"/>
      <c r="G7" s="29"/>
    </row>
    <row r="8" spans="1:7" ht="15" thickBot="1" x14ac:dyDescent="0.35">
      <c r="A8" s="27" t="s">
        <v>225</v>
      </c>
    </row>
    <row r="9" spans="1:7" ht="43.8" thickBot="1" x14ac:dyDescent="0.35">
      <c r="A9" s="29" t="s">
        <v>88</v>
      </c>
      <c r="B9" s="29" t="s">
        <v>89</v>
      </c>
      <c r="C9" s="29" t="s">
        <v>188</v>
      </c>
      <c r="D9" s="29" t="s">
        <v>189</v>
      </c>
      <c r="E9" s="29" t="s">
        <v>190</v>
      </c>
      <c r="F9" s="29" t="s">
        <v>191</v>
      </c>
    </row>
    <row r="10" spans="1:7" ht="15" thickBot="1" x14ac:dyDescent="0.35">
      <c r="A10" s="29">
        <v>1</v>
      </c>
      <c r="B10" s="29"/>
      <c r="C10" s="29"/>
      <c r="D10" s="29"/>
      <c r="E10" s="29"/>
      <c r="F10" s="29"/>
    </row>
    <row r="11" spans="1:7" ht="15" thickBot="1" x14ac:dyDescent="0.35">
      <c r="A11" s="29">
        <v>2</v>
      </c>
      <c r="B11" s="29"/>
      <c r="C11" s="29"/>
      <c r="D11" s="29"/>
      <c r="E11" s="29"/>
      <c r="F11" s="29"/>
    </row>
    <row r="12" spans="1:7" ht="15" thickBot="1" x14ac:dyDescent="0.35">
      <c r="A12" s="29">
        <v>3</v>
      </c>
      <c r="B12" s="29"/>
      <c r="C12" s="29"/>
      <c r="D12" s="29"/>
      <c r="E12" s="29"/>
      <c r="F12" s="29"/>
    </row>
    <row r="13" spans="1:7" ht="15" thickBot="1" x14ac:dyDescent="0.35">
      <c r="A13" s="29">
        <v>4</v>
      </c>
      <c r="B13" s="29"/>
      <c r="C13" s="29"/>
      <c r="D13" s="29"/>
      <c r="E13" s="29"/>
      <c r="F13" s="29"/>
    </row>
    <row r="14" spans="1:7" ht="15" thickBot="1" x14ac:dyDescent="0.35">
      <c r="A14" s="29">
        <v>5</v>
      </c>
      <c r="B14" s="29"/>
      <c r="C14" s="29"/>
      <c r="D14" s="29"/>
      <c r="E14" s="29"/>
      <c r="F14" s="29"/>
    </row>
    <row r="15" spans="1:7" ht="15" thickBot="1" x14ac:dyDescent="0.35">
      <c r="A15" s="27" t="s">
        <v>227</v>
      </c>
    </row>
    <row r="16" spans="1:7" ht="43.8" thickBot="1" x14ac:dyDescent="0.35">
      <c r="A16" s="29" t="s">
        <v>88</v>
      </c>
      <c r="B16" s="29" t="s">
        <v>89</v>
      </c>
      <c r="C16" s="29" t="s">
        <v>188</v>
      </c>
      <c r="D16" s="29" t="s">
        <v>189</v>
      </c>
      <c r="E16" s="29" t="s">
        <v>190</v>
      </c>
      <c r="F16" s="29" t="s">
        <v>191</v>
      </c>
    </row>
    <row r="17" spans="1:6" ht="15" thickBot="1" x14ac:dyDescent="0.35">
      <c r="A17" s="29">
        <v>1</v>
      </c>
      <c r="B17" s="29"/>
      <c r="C17" s="29"/>
      <c r="D17" s="29"/>
      <c r="E17" s="29"/>
      <c r="F17" s="29"/>
    </row>
    <row r="18" spans="1:6" ht="15" thickBot="1" x14ac:dyDescent="0.35">
      <c r="A18" s="29">
        <v>2</v>
      </c>
      <c r="B18" s="29"/>
      <c r="C18" s="29"/>
      <c r="D18" s="29"/>
      <c r="E18" s="29"/>
      <c r="F18" s="29"/>
    </row>
    <row r="19" spans="1:6" ht="15" thickBot="1" x14ac:dyDescent="0.35">
      <c r="A19" s="29">
        <v>3</v>
      </c>
      <c r="B19" s="29"/>
      <c r="C19" s="29"/>
      <c r="D19" s="29"/>
      <c r="E19" s="29"/>
      <c r="F19" s="29"/>
    </row>
    <row r="20" spans="1:6" ht="15" thickBot="1" x14ac:dyDescent="0.35">
      <c r="A20" s="29">
        <v>4</v>
      </c>
      <c r="B20" s="29"/>
      <c r="C20" s="29"/>
      <c r="D20" s="29"/>
      <c r="E20" s="29"/>
      <c r="F20" s="29"/>
    </row>
    <row r="21" spans="1:6" ht="15" thickBot="1" x14ac:dyDescent="0.35">
      <c r="A21" s="29">
        <v>5</v>
      </c>
      <c r="B21" s="29"/>
      <c r="C21" s="29"/>
      <c r="D21" s="29"/>
      <c r="E21" s="29"/>
      <c r="F21" s="29"/>
    </row>
    <row r="22" spans="1:6" ht="15" thickBot="1" x14ac:dyDescent="0.35">
      <c r="A22" s="27" t="s">
        <v>229</v>
      </c>
    </row>
    <row r="23" spans="1:6" ht="43.8" thickBot="1" x14ac:dyDescent="0.35">
      <c r="A23" s="29" t="s">
        <v>88</v>
      </c>
      <c r="B23" s="29" t="s">
        <v>89</v>
      </c>
      <c r="C23" s="29" t="s">
        <v>188</v>
      </c>
      <c r="D23" s="29" t="s">
        <v>189</v>
      </c>
      <c r="E23" s="29" t="s">
        <v>190</v>
      </c>
      <c r="F23" s="29" t="s">
        <v>191</v>
      </c>
    </row>
    <row r="24" spans="1:6" ht="15" thickBot="1" x14ac:dyDescent="0.35">
      <c r="A24" s="29">
        <v>1</v>
      </c>
      <c r="B24" s="29"/>
      <c r="C24" s="29"/>
      <c r="D24" s="29"/>
      <c r="E24" s="29"/>
      <c r="F24" s="29"/>
    </row>
    <row r="25" spans="1:6" ht="15" thickBot="1" x14ac:dyDescent="0.35">
      <c r="A25" s="29">
        <v>2</v>
      </c>
      <c r="B25" s="29"/>
      <c r="C25" s="29"/>
      <c r="D25" s="29"/>
      <c r="E25" s="29"/>
      <c r="F25" s="29"/>
    </row>
    <row r="26" spans="1:6" ht="15" thickBot="1" x14ac:dyDescent="0.35">
      <c r="A26" s="29">
        <v>3</v>
      </c>
      <c r="B26" s="29"/>
      <c r="C26" s="29"/>
      <c r="D26" s="29"/>
      <c r="E26" s="29"/>
      <c r="F26" s="29"/>
    </row>
    <row r="27" spans="1:6" ht="15" thickBot="1" x14ac:dyDescent="0.35">
      <c r="A27" s="29">
        <v>4</v>
      </c>
      <c r="B27" s="29"/>
      <c r="C27" s="29"/>
      <c r="D27" s="29"/>
      <c r="E27" s="29"/>
      <c r="F27" s="29"/>
    </row>
    <row r="28" spans="1:6" ht="15" thickBot="1" x14ac:dyDescent="0.35">
      <c r="A28" s="29">
        <v>5</v>
      </c>
      <c r="B28" s="29"/>
      <c r="C28" s="29"/>
      <c r="D28" s="29"/>
      <c r="E28" s="29"/>
      <c r="F28" s="29"/>
    </row>
    <row r="29" spans="1:6" ht="15" thickBot="1" x14ac:dyDescent="0.35">
      <c r="A29" s="27" t="s">
        <v>231</v>
      </c>
    </row>
    <row r="30" spans="1:6" ht="43.8" thickBot="1" x14ac:dyDescent="0.35">
      <c r="A30" s="29" t="s">
        <v>88</v>
      </c>
      <c r="B30" s="29" t="s">
        <v>89</v>
      </c>
      <c r="C30" s="29" t="s">
        <v>188</v>
      </c>
      <c r="D30" s="29" t="s">
        <v>189</v>
      </c>
      <c r="E30" s="29" t="s">
        <v>190</v>
      </c>
      <c r="F30" s="29" t="s">
        <v>191</v>
      </c>
    </row>
    <row r="31" spans="1:6" ht="15" thickBot="1" x14ac:dyDescent="0.35">
      <c r="A31" s="29">
        <v>1</v>
      </c>
      <c r="B31" s="29"/>
      <c r="C31" s="29"/>
      <c r="D31" s="29"/>
      <c r="E31" s="29"/>
      <c r="F31" s="29"/>
    </row>
    <row r="32" spans="1:6" ht="15" thickBot="1" x14ac:dyDescent="0.35">
      <c r="A32" s="29">
        <v>2</v>
      </c>
      <c r="B32" s="29"/>
      <c r="C32" s="29"/>
      <c r="D32" s="29"/>
      <c r="E32" s="29"/>
      <c r="F32" s="29"/>
    </row>
    <row r="33" spans="1:6" ht="15" thickBot="1" x14ac:dyDescent="0.35">
      <c r="A33" s="29">
        <v>3</v>
      </c>
      <c r="B33" s="29"/>
      <c r="C33" s="29"/>
      <c r="D33" s="29"/>
      <c r="E33" s="29"/>
      <c r="F33" s="29"/>
    </row>
    <row r="34" spans="1:6" ht="15" thickBot="1" x14ac:dyDescent="0.35">
      <c r="A34" s="29">
        <v>4</v>
      </c>
      <c r="B34" s="29"/>
      <c r="C34" s="29"/>
      <c r="D34" s="29"/>
      <c r="E34" s="29"/>
      <c r="F34" s="29"/>
    </row>
    <row r="35" spans="1:6" ht="15" thickBot="1" x14ac:dyDescent="0.35">
      <c r="A35" s="29">
        <v>5</v>
      </c>
      <c r="B35" s="29"/>
      <c r="C35" s="29"/>
      <c r="D35" s="29"/>
      <c r="E35" s="29"/>
      <c r="F35" s="29"/>
    </row>
    <row r="36" spans="1:6" ht="15" thickBot="1" x14ac:dyDescent="0.35">
      <c r="A36" s="27" t="s">
        <v>232</v>
      </c>
    </row>
    <row r="37" spans="1:6" ht="43.8" thickBot="1" x14ac:dyDescent="0.35">
      <c r="A37" s="29" t="s">
        <v>88</v>
      </c>
      <c r="B37" s="29" t="s">
        <v>89</v>
      </c>
      <c r="C37" s="29" t="s">
        <v>188</v>
      </c>
      <c r="D37" s="29" t="s">
        <v>189</v>
      </c>
      <c r="E37" s="29" t="s">
        <v>190</v>
      </c>
      <c r="F37" s="29" t="s">
        <v>191</v>
      </c>
    </row>
    <row r="38" spans="1:6" ht="15" thickBot="1" x14ac:dyDescent="0.35">
      <c r="A38" s="29">
        <v>1</v>
      </c>
      <c r="B38" s="29"/>
      <c r="C38" s="29"/>
      <c r="D38" s="29"/>
      <c r="E38" s="29"/>
      <c r="F38" s="29"/>
    </row>
    <row r="39" spans="1:6" ht="15" thickBot="1" x14ac:dyDescent="0.35">
      <c r="A39" s="29">
        <v>2</v>
      </c>
      <c r="B39" s="29"/>
      <c r="C39" s="29"/>
      <c r="D39" s="29"/>
      <c r="E39" s="29"/>
      <c r="F39" s="29"/>
    </row>
    <row r="40" spans="1:6" ht="15" thickBot="1" x14ac:dyDescent="0.35">
      <c r="A40" s="29">
        <v>3</v>
      </c>
      <c r="B40" s="29"/>
      <c r="C40" s="29"/>
      <c r="D40" s="29"/>
      <c r="E40" s="29"/>
      <c r="F40" s="29"/>
    </row>
    <row r="41" spans="1:6" ht="15" thickBot="1" x14ac:dyDescent="0.35">
      <c r="A41" s="29">
        <v>4</v>
      </c>
      <c r="B41" s="29"/>
      <c r="C41" s="29"/>
      <c r="D41" s="29"/>
      <c r="E41" s="29"/>
      <c r="F41" s="29"/>
    </row>
    <row r="42" spans="1:6" ht="15" thickBot="1" x14ac:dyDescent="0.35">
      <c r="A42" s="29">
        <v>5</v>
      </c>
      <c r="B42" s="29"/>
      <c r="C42" s="29"/>
      <c r="D42" s="29"/>
      <c r="E42" s="29"/>
      <c r="F42" s="29"/>
    </row>
    <row r="43" spans="1:6" ht="15" thickBot="1" x14ac:dyDescent="0.35">
      <c r="A43" s="27" t="s">
        <v>234</v>
      </c>
    </row>
    <row r="44" spans="1:6" ht="43.8" thickBot="1" x14ac:dyDescent="0.35">
      <c r="A44" s="29" t="s">
        <v>88</v>
      </c>
      <c r="B44" s="29" t="s">
        <v>89</v>
      </c>
      <c r="C44" s="29" t="s">
        <v>188</v>
      </c>
      <c r="D44" s="29" t="s">
        <v>189</v>
      </c>
      <c r="E44" s="29" t="s">
        <v>190</v>
      </c>
      <c r="F44" s="29" t="s">
        <v>191</v>
      </c>
    </row>
    <row r="45" spans="1:6" ht="15" thickBot="1" x14ac:dyDescent="0.35">
      <c r="A45" s="29">
        <v>1</v>
      </c>
      <c r="B45" s="29"/>
      <c r="C45" s="29"/>
      <c r="D45" s="29"/>
      <c r="E45" s="29"/>
      <c r="F45" s="29"/>
    </row>
    <row r="46" spans="1:6" ht="15" thickBot="1" x14ac:dyDescent="0.35">
      <c r="A46" s="29">
        <v>2</v>
      </c>
      <c r="B46" s="29"/>
      <c r="C46" s="29"/>
      <c r="D46" s="29"/>
      <c r="E46" s="29"/>
      <c r="F46" s="29"/>
    </row>
    <row r="47" spans="1:6" ht="15" thickBot="1" x14ac:dyDescent="0.35">
      <c r="A47" s="29">
        <v>3</v>
      </c>
      <c r="B47" s="29"/>
      <c r="C47" s="29"/>
      <c r="D47" s="29"/>
      <c r="E47" s="29"/>
      <c r="F47" s="29"/>
    </row>
    <row r="48" spans="1:6" ht="15" thickBot="1" x14ac:dyDescent="0.35">
      <c r="A48" s="29">
        <v>4</v>
      </c>
      <c r="B48" s="29"/>
      <c r="C48" s="29"/>
      <c r="D48" s="29"/>
      <c r="E48" s="29"/>
      <c r="F48" s="29"/>
    </row>
    <row r="49" spans="1:6" ht="15" thickBot="1" x14ac:dyDescent="0.35">
      <c r="A49" s="29">
        <v>5</v>
      </c>
      <c r="B49" s="29"/>
      <c r="C49" s="29"/>
      <c r="D49" s="29"/>
      <c r="E49" s="29"/>
      <c r="F49" s="29"/>
    </row>
    <row r="50" spans="1:6" ht="15" thickBot="1" x14ac:dyDescent="0.35">
      <c r="A50" s="27" t="s">
        <v>236</v>
      </c>
    </row>
    <row r="51" spans="1:6" ht="43.8" thickBot="1" x14ac:dyDescent="0.35">
      <c r="A51" s="29" t="s">
        <v>88</v>
      </c>
      <c r="B51" s="29" t="s">
        <v>89</v>
      </c>
      <c r="C51" s="29" t="s">
        <v>188</v>
      </c>
      <c r="D51" s="29" t="s">
        <v>189</v>
      </c>
      <c r="E51" s="29" t="s">
        <v>190</v>
      </c>
      <c r="F51" s="29" t="s">
        <v>191</v>
      </c>
    </row>
    <row r="52" spans="1:6" ht="58.2" thickBot="1" x14ac:dyDescent="0.35">
      <c r="A52" s="29">
        <v>1</v>
      </c>
      <c r="B52" s="29" t="s">
        <v>192</v>
      </c>
      <c r="C52" s="29" t="s">
        <v>193</v>
      </c>
      <c r="D52" s="29" t="s">
        <v>194</v>
      </c>
      <c r="E52" s="29" t="s">
        <v>195</v>
      </c>
      <c r="F52" s="29"/>
    </row>
    <row r="53" spans="1:6" ht="15" thickBot="1" x14ac:dyDescent="0.35">
      <c r="A53" s="29">
        <v>2</v>
      </c>
      <c r="B53" s="29"/>
      <c r="C53" s="29"/>
      <c r="D53" s="29"/>
      <c r="E53" s="29"/>
      <c r="F53" s="29"/>
    </row>
    <row r="54" spans="1:6" ht="15" thickBot="1" x14ac:dyDescent="0.35">
      <c r="A54" s="29">
        <v>3</v>
      </c>
      <c r="B54" s="29"/>
      <c r="C54" s="29"/>
      <c r="D54" s="29"/>
      <c r="E54" s="29"/>
      <c r="F54" s="29"/>
    </row>
    <row r="55" spans="1:6" ht="15" thickBot="1" x14ac:dyDescent="0.35">
      <c r="A55" s="29">
        <v>4</v>
      </c>
      <c r="B55" s="29"/>
      <c r="C55" s="29"/>
      <c r="D55" s="29"/>
      <c r="E55" s="29"/>
      <c r="F55" s="29"/>
    </row>
    <row r="56" spans="1:6" ht="15" thickBot="1" x14ac:dyDescent="0.35">
      <c r="A56" s="29">
        <v>5</v>
      </c>
      <c r="B56" s="29"/>
      <c r="C56" s="29"/>
      <c r="D56" s="29"/>
      <c r="E56" s="29"/>
      <c r="F56" s="29"/>
    </row>
    <row r="57" spans="1:6" ht="15" thickBot="1" x14ac:dyDescent="0.35">
      <c r="A57" s="27" t="s">
        <v>238</v>
      </c>
    </row>
    <row r="58" spans="1:6" ht="43.8" thickBot="1" x14ac:dyDescent="0.35">
      <c r="A58" s="29" t="s">
        <v>88</v>
      </c>
      <c r="B58" s="29" t="s">
        <v>89</v>
      </c>
      <c r="C58" s="29" t="s">
        <v>188</v>
      </c>
      <c r="D58" s="29" t="s">
        <v>189</v>
      </c>
      <c r="E58" s="29" t="s">
        <v>190</v>
      </c>
      <c r="F58" s="29" t="s">
        <v>191</v>
      </c>
    </row>
    <row r="59" spans="1:6" ht="15" thickBot="1" x14ac:dyDescent="0.35">
      <c r="A59" s="29">
        <v>1</v>
      </c>
      <c r="B59" s="29"/>
      <c r="C59" s="29"/>
      <c r="D59" s="29"/>
      <c r="E59" s="29"/>
      <c r="F59" s="29"/>
    </row>
    <row r="60" spans="1:6" ht="15" thickBot="1" x14ac:dyDescent="0.35">
      <c r="A60" s="29">
        <v>2</v>
      </c>
      <c r="B60" s="29"/>
      <c r="C60" s="29"/>
      <c r="D60" s="29"/>
      <c r="E60" s="29"/>
      <c r="F60" s="29"/>
    </row>
    <row r="61" spans="1:6" ht="15" thickBot="1" x14ac:dyDescent="0.35">
      <c r="A61" s="29">
        <v>3</v>
      </c>
      <c r="B61" s="29"/>
      <c r="C61" s="29"/>
      <c r="D61" s="29"/>
      <c r="E61" s="29"/>
      <c r="F61" s="29"/>
    </row>
    <row r="62" spans="1:6" ht="15" thickBot="1" x14ac:dyDescent="0.35">
      <c r="A62" s="29">
        <v>4</v>
      </c>
      <c r="B62" s="29"/>
      <c r="C62" s="29"/>
      <c r="D62" s="29"/>
      <c r="E62" s="29"/>
      <c r="F62" s="29"/>
    </row>
    <row r="63" spans="1:6" ht="15" thickBot="1" x14ac:dyDescent="0.35">
      <c r="A63" s="29">
        <v>5</v>
      </c>
      <c r="B63" s="29"/>
      <c r="C63" s="29"/>
      <c r="D63" s="29"/>
      <c r="E63" s="29"/>
      <c r="F63" s="29"/>
    </row>
    <row r="64" spans="1:6" ht="15" thickBot="1" x14ac:dyDescent="0.35">
      <c r="A64" s="27" t="s">
        <v>239</v>
      </c>
    </row>
    <row r="65" spans="1:6" ht="43.8" thickBot="1" x14ac:dyDescent="0.35">
      <c r="A65" s="29" t="s">
        <v>88</v>
      </c>
      <c r="B65" s="29" t="s">
        <v>89</v>
      </c>
      <c r="C65" s="29" t="s">
        <v>188</v>
      </c>
      <c r="D65" s="29" t="s">
        <v>189</v>
      </c>
      <c r="E65" s="29" t="s">
        <v>190</v>
      </c>
      <c r="F65" s="29" t="s">
        <v>191</v>
      </c>
    </row>
    <row r="66" spans="1:6" ht="15" thickBot="1" x14ac:dyDescent="0.35">
      <c r="A66" s="29">
        <v>1</v>
      </c>
      <c r="B66" s="29"/>
      <c r="C66" s="29"/>
      <c r="D66" s="29"/>
      <c r="E66" s="29"/>
      <c r="F66" s="29"/>
    </row>
    <row r="67" spans="1:6" ht="15" thickBot="1" x14ac:dyDescent="0.35">
      <c r="A67" s="29">
        <v>2</v>
      </c>
      <c r="B67" s="29"/>
      <c r="C67" s="29"/>
      <c r="D67" s="29"/>
      <c r="E67" s="29"/>
      <c r="F67" s="29"/>
    </row>
    <row r="68" spans="1:6" ht="15" thickBot="1" x14ac:dyDescent="0.35">
      <c r="A68" s="29">
        <v>3</v>
      </c>
      <c r="B68" s="29"/>
      <c r="C68" s="29"/>
      <c r="D68" s="29"/>
      <c r="E68" s="29"/>
      <c r="F68" s="29"/>
    </row>
    <row r="69" spans="1:6" ht="15" thickBot="1" x14ac:dyDescent="0.35">
      <c r="A69" s="29">
        <v>4</v>
      </c>
      <c r="B69" s="29"/>
      <c r="C69" s="29"/>
      <c r="D69" s="29"/>
      <c r="E69" s="29"/>
      <c r="F69" s="29"/>
    </row>
    <row r="70" spans="1:6" ht="15" thickBot="1" x14ac:dyDescent="0.35">
      <c r="A70" s="29">
        <v>5</v>
      </c>
      <c r="B70" s="29"/>
      <c r="C70" s="29"/>
      <c r="D70" s="29"/>
      <c r="E70" s="29"/>
      <c r="F70" s="29"/>
    </row>
    <row r="71" spans="1:6" ht="15" thickBot="1" x14ac:dyDescent="0.35">
      <c r="A71" s="27" t="s">
        <v>241</v>
      </c>
    </row>
    <row r="72" spans="1:6" ht="43.8" thickBot="1" x14ac:dyDescent="0.35">
      <c r="A72" s="29" t="s">
        <v>88</v>
      </c>
      <c r="B72" s="29" t="s">
        <v>89</v>
      </c>
      <c r="C72" s="29" t="s">
        <v>188</v>
      </c>
      <c r="D72" s="29" t="s">
        <v>189</v>
      </c>
      <c r="E72" s="29" t="s">
        <v>190</v>
      </c>
      <c r="F72" s="29" t="s">
        <v>191</v>
      </c>
    </row>
    <row r="73" spans="1:6" ht="15" thickBot="1" x14ac:dyDescent="0.35">
      <c r="A73" s="29">
        <v>1</v>
      </c>
      <c r="B73" s="29"/>
      <c r="C73" s="29"/>
      <c r="D73" s="29"/>
      <c r="E73" s="29"/>
      <c r="F73" s="29"/>
    </row>
    <row r="74" spans="1:6" ht="15" thickBot="1" x14ac:dyDescent="0.35">
      <c r="A74" s="29">
        <v>2</v>
      </c>
      <c r="B74" s="29"/>
      <c r="C74" s="29"/>
      <c r="D74" s="29"/>
      <c r="E74" s="29"/>
      <c r="F74" s="29"/>
    </row>
    <row r="75" spans="1:6" ht="15" thickBot="1" x14ac:dyDescent="0.35">
      <c r="A75" s="29">
        <v>3</v>
      </c>
      <c r="B75" s="29"/>
      <c r="C75" s="29"/>
      <c r="D75" s="29"/>
      <c r="E75" s="29"/>
      <c r="F75" s="29"/>
    </row>
    <row r="76" spans="1:6" ht="15" thickBot="1" x14ac:dyDescent="0.35">
      <c r="A76" s="29">
        <v>4</v>
      </c>
      <c r="B76" s="29"/>
      <c r="C76" s="29"/>
      <c r="D76" s="29"/>
      <c r="E76" s="29"/>
      <c r="F76" s="29"/>
    </row>
    <row r="77" spans="1:6" ht="15" thickBot="1" x14ac:dyDescent="0.35">
      <c r="A77" s="29">
        <v>5</v>
      </c>
      <c r="B77" s="29"/>
      <c r="C77" s="29"/>
      <c r="D77" s="29"/>
      <c r="E77" s="29"/>
      <c r="F77" s="29"/>
    </row>
    <row r="78" spans="1:6" ht="15" thickBot="1" x14ac:dyDescent="0.35">
      <c r="A78" s="27" t="s">
        <v>243</v>
      </c>
    </row>
    <row r="79" spans="1:6" ht="43.8" thickBot="1" x14ac:dyDescent="0.35">
      <c r="A79" s="29" t="s">
        <v>88</v>
      </c>
      <c r="B79" s="29" t="s">
        <v>89</v>
      </c>
      <c r="C79" s="29" t="s">
        <v>188</v>
      </c>
      <c r="D79" s="29" t="s">
        <v>189</v>
      </c>
      <c r="E79" s="29" t="s">
        <v>190</v>
      </c>
      <c r="F79" s="29" t="s">
        <v>191</v>
      </c>
    </row>
    <row r="80" spans="1:6" ht="15" thickBot="1" x14ac:dyDescent="0.35">
      <c r="A80" s="29">
        <v>1</v>
      </c>
      <c r="B80" s="29" t="s">
        <v>211</v>
      </c>
      <c r="C80" s="29" t="s">
        <v>193</v>
      </c>
      <c r="D80" s="29" t="s">
        <v>212</v>
      </c>
      <c r="E80" s="29" t="s">
        <v>213</v>
      </c>
      <c r="F80" s="51">
        <v>46260</v>
      </c>
    </row>
    <row r="81" spans="1:6" ht="43.2" x14ac:dyDescent="0.3">
      <c r="A81" s="76">
        <v>2</v>
      </c>
      <c r="B81" s="76" t="s">
        <v>211</v>
      </c>
      <c r="C81" s="76" t="s">
        <v>193</v>
      </c>
      <c r="D81" s="76" t="s">
        <v>212</v>
      </c>
      <c r="E81" s="30" t="s">
        <v>214</v>
      </c>
      <c r="F81" s="82">
        <v>46260</v>
      </c>
    </row>
    <row r="82" spans="1:6" x14ac:dyDescent="0.3">
      <c r="A82" s="81"/>
      <c r="B82" s="81"/>
      <c r="C82" s="81"/>
      <c r="D82" s="81"/>
      <c r="E82" s="37"/>
      <c r="F82" s="83"/>
    </row>
    <row r="83" spans="1:6" ht="43.8" thickBot="1" x14ac:dyDescent="0.35">
      <c r="A83" s="77"/>
      <c r="B83" s="77"/>
      <c r="C83" s="77"/>
      <c r="D83" s="77"/>
      <c r="E83" s="31" t="s">
        <v>215</v>
      </c>
      <c r="F83" s="84"/>
    </row>
    <row r="84" spans="1:6" ht="15" thickBot="1" x14ac:dyDescent="0.35">
      <c r="A84" s="29">
        <v>3</v>
      </c>
      <c r="B84" s="29"/>
      <c r="C84" s="29"/>
      <c r="D84" s="29"/>
      <c r="E84" s="29"/>
      <c r="F84" s="29"/>
    </row>
    <row r="85" spans="1:6" ht="15" thickBot="1" x14ac:dyDescent="0.35">
      <c r="A85" s="29">
        <v>4</v>
      </c>
      <c r="B85" s="29"/>
      <c r="C85" s="29"/>
      <c r="D85" s="29"/>
      <c r="E85" s="29"/>
      <c r="F85" s="29"/>
    </row>
    <row r="86" spans="1:6" ht="15" thickBot="1" x14ac:dyDescent="0.35">
      <c r="A86" s="29">
        <v>5</v>
      </c>
      <c r="B86" s="29"/>
      <c r="C86" s="29"/>
      <c r="D86" s="29"/>
      <c r="E86" s="29"/>
      <c r="F86" s="29"/>
    </row>
    <row r="87" spans="1:6" ht="15" thickBot="1" x14ac:dyDescent="0.35">
      <c r="A87" s="27" t="s">
        <v>245</v>
      </c>
    </row>
    <row r="88" spans="1:6" ht="43.8" thickBot="1" x14ac:dyDescent="0.35">
      <c r="A88" s="29" t="s">
        <v>88</v>
      </c>
      <c r="B88" s="29" t="s">
        <v>89</v>
      </c>
      <c r="C88" s="29" t="s">
        <v>188</v>
      </c>
      <c r="D88" s="29" t="s">
        <v>189</v>
      </c>
      <c r="E88" s="29" t="s">
        <v>190</v>
      </c>
      <c r="F88" s="29" t="s">
        <v>191</v>
      </c>
    </row>
    <row r="89" spans="1:6" ht="15" thickBot="1" x14ac:dyDescent="0.35">
      <c r="A89" s="29">
        <v>1</v>
      </c>
      <c r="B89" s="29"/>
      <c r="C89" s="29"/>
      <c r="D89" s="29"/>
      <c r="E89" s="29"/>
      <c r="F89" s="29"/>
    </row>
    <row r="90" spans="1:6" ht="15" thickBot="1" x14ac:dyDescent="0.35">
      <c r="A90" s="29">
        <v>2</v>
      </c>
      <c r="B90" s="29"/>
      <c r="C90" s="29"/>
      <c r="D90" s="29"/>
      <c r="E90" s="29"/>
      <c r="F90" s="29"/>
    </row>
    <row r="91" spans="1:6" ht="15" thickBot="1" x14ac:dyDescent="0.35">
      <c r="A91" s="29">
        <v>3</v>
      </c>
      <c r="B91" s="29"/>
      <c r="C91" s="29"/>
      <c r="D91" s="29"/>
      <c r="E91" s="29"/>
      <c r="F91" s="29"/>
    </row>
    <row r="92" spans="1:6" ht="15" thickBot="1" x14ac:dyDescent="0.35">
      <c r="A92" s="29">
        <v>4</v>
      </c>
      <c r="B92" s="29"/>
      <c r="C92" s="29"/>
      <c r="D92" s="29"/>
      <c r="E92" s="29"/>
      <c r="F92" s="29"/>
    </row>
    <row r="93" spans="1:6" ht="15" thickBot="1" x14ac:dyDescent="0.35">
      <c r="A93" s="29">
        <v>5</v>
      </c>
      <c r="B93" s="29"/>
      <c r="C93" s="29"/>
      <c r="D93" s="29"/>
      <c r="E93" s="29"/>
      <c r="F93" s="29"/>
    </row>
    <row r="94" spans="1:6" ht="15" thickBot="1" x14ac:dyDescent="0.35">
      <c r="A94" s="29"/>
      <c r="B94" s="29"/>
      <c r="C94" s="29"/>
      <c r="D94" s="29"/>
      <c r="E94" s="29"/>
      <c r="F94" s="29"/>
    </row>
    <row r="95" spans="1:6" ht="15" thickBot="1" x14ac:dyDescent="0.35">
      <c r="A95" s="29"/>
      <c r="B95" s="29"/>
      <c r="C95" s="29"/>
      <c r="D95" s="29"/>
      <c r="E95" s="29"/>
      <c r="F95" s="29"/>
    </row>
    <row r="96" spans="1:6" ht="15" thickBot="1" x14ac:dyDescent="0.35">
      <c r="A96" s="29"/>
      <c r="B96" s="29"/>
      <c r="C96" s="29"/>
      <c r="D96" s="29"/>
      <c r="E96" s="29"/>
      <c r="F96" s="29"/>
    </row>
    <row r="97" spans="1:6" ht="15" thickBot="1" x14ac:dyDescent="0.35">
      <c r="A97" s="29"/>
      <c r="B97" s="29"/>
      <c r="C97" s="29"/>
      <c r="D97" s="29"/>
      <c r="E97" s="29"/>
      <c r="F97" s="29"/>
    </row>
    <row r="98" spans="1:6" ht="15" thickBot="1" x14ac:dyDescent="0.35">
      <c r="A98" s="29"/>
      <c r="B98" s="29"/>
      <c r="C98" s="29"/>
      <c r="D98" s="29"/>
      <c r="E98" s="29"/>
      <c r="F98" s="29"/>
    </row>
    <row r="99" spans="1:6" ht="15" thickBot="1" x14ac:dyDescent="0.35">
      <c r="A99" s="27"/>
    </row>
    <row r="100" spans="1:6" ht="15" thickBot="1" x14ac:dyDescent="0.35">
      <c r="A100" s="29"/>
      <c r="B100" s="29"/>
      <c r="C100" s="29"/>
      <c r="D100" s="29"/>
      <c r="E100" s="29"/>
      <c r="F100" s="29"/>
    </row>
    <row r="101" spans="1:6" ht="15" thickBot="1" x14ac:dyDescent="0.35">
      <c r="A101" s="29"/>
      <c r="B101" s="29"/>
      <c r="C101" s="29"/>
      <c r="D101" s="29"/>
      <c r="E101" s="29"/>
      <c r="F101" s="29"/>
    </row>
    <row r="102" spans="1:6" x14ac:dyDescent="0.3">
      <c r="A102" s="76"/>
      <c r="B102" s="76"/>
      <c r="C102" s="76"/>
      <c r="D102" s="76"/>
      <c r="E102" s="30"/>
      <c r="F102" s="76"/>
    </row>
    <row r="103" spans="1:6" ht="15" thickBot="1" x14ac:dyDescent="0.35">
      <c r="A103" s="77"/>
      <c r="B103" s="77"/>
      <c r="C103" s="77"/>
      <c r="D103" s="77"/>
      <c r="E103" s="31"/>
      <c r="F103" s="77"/>
    </row>
    <row r="104" spans="1:6" ht="15" thickBot="1" x14ac:dyDescent="0.35">
      <c r="A104" s="29"/>
      <c r="B104" s="29"/>
      <c r="C104" s="29"/>
      <c r="D104" s="29"/>
      <c r="E104" s="29"/>
      <c r="F104" s="29"/>
    </row>
    <row r="105" spans="1:6" ht="15" thickBot="1" x14ac:dyDescent="0.35">
      <c r="A105" s="29"/>
      <c r="B105" s="29"/>
      <c r="C105" s="29"/>
      <c r="D105" s="29"/>
      <c r="E105" s="29"/>
      <c r="F105" s="29"/>
    </row>
    <row r="106" spans="1:6" ht="15" thickBot="1" x14ac:dyDescent="0.35">
      <c r="A106" s="29"/>
      <c r="B106" s="29"/>
      <c r="C106" s="29"/>
      <c r="D106" s="29"/>
      <c r="E106" s="29"/>
      <c r="F106" s="29"/>
    </row>
    <row r="107" spans="1:6" ht="15" thickBot="1" x14ac:dyDescent="0.35">
      <c r="A107" s="27"/>
    </row>
    <row r="108" spans="1:6" ht="15" thickBot="1" x14ac:dyDescent="0.35">
      <c r="A108" s="29"/>
      <c r="B108" s="29"/>
      <c r="C108" s="29"/>
      <c r="D108" s="29"/>
      <c r="E108" s="29"/>
      <c r="F108" s="29"/>
    </row>
    <row r="109" spans="1:6" ht="15" thickBot="1" x14ac:dyDescent="0.35">
      <c r="A109" s="29"/>
      <c r="B109" s="29"/>
      <c r="C109" s="29"/>
      <c r="D109" s="29"/>
      <c r="E109" s="29"/>
      <c r="F109" s="29"/>
    </row>
    <row r="110" spans="1:6" ht="15" thickBot="1" x14ac:dyDescent="0.35">
      <c r="A110" s="29"/>
      <c r="B110" s="29"/>
      <c r="C110" s="29"/>
      <c r="D110" s="29"/>
      <c r="E110" s="29"/>
      <c r="F110" s="29"/>
    </row>
    <row r="111" spans="1:6" ht="15" thickBot="1" x14ac:dyDescent="0.35">
      <c r="A111" s="29"/>
      <c r="B111" s="29"/>
      <c r="C111" s="29"/>
      <c r="D111" s="29"/>
      <c r="E111" s="29"/>
      <c r="F111" s="29"/>
    </row>
    <row r="112" spans="1:6" ht="15" thickBot="1" x14ac:dyDescent="0.35">
      <c r="A112" s="29"/>
      <c r="B112" s="29"/>
      <c r="C112" s="29"/>
      <c r="D112" s="29"/>
      <c r="E112" s="29"/>
      <c r="F112" s="29"/>
    </row>
    <row r="113" spans="1:6" ht="15" thickBot="1" x14ac:dyDescent="0.35">
      <c r="A113" s="29"/>
      <c r="B113" s="29"/>
      <c r="C113" s="29"/>
      <c r="D113" s="29"/>
      <c r="E113" s="29"/>
      <c r="F113" s="29"/>
    </row>
    <row r="114" spans="1:6" ht="15" thickBot="1" x14ac:dyDescent="0.35">
      <c r="A114" s="27"/>
    </row>
    <row r="115" spans="1:6" ht="15" thickBot="1" x14ac:dyDescent="0.35">
      <c r="A115" s="29"/>
      <c r="B115" s="29"/>
      <c r="C115" s="29"/>
      <c r="D115" s="29"/>
      <c r="E115" s="29"/>
      <c r="F115" s="29"/>
    </row>
    <row r="116" spans="1:6" ht="15" thickBot="1" x14ac:dyDescent="0.35">
      <c r="A116" s="29"/>
      <c r="B116" s="29"/>
      <c r="C116" s="29"/>
      <c r="D116" s="29"/>
      <c r="E116" s="29"/>
      <c r="F116" s="29"/>
    </row>
    <row r="117" spans="1:6" ht="15" thickBot="1" x14ac:dyDescent="0.35">
      <c r="A117" s="29"/>
      <c r="B117" s="29"/>
      <c r="C117" s="29"/>
      <c r="D117" s="29"/>
      <c r="E117" s="29"/>
      <c r="F117" s="29"/>
    </row>
    <row r="118" spans="1:6" ht="15" thickBot="1" x14ac:dyDescent="0.35">
      <c r="A118" s="29"/>
      <c r="B118" s="29"/>
      <c r="C118" s="29"/>
      <c r="D118" s="29"/>
      <c r="E118" s="29"/>
      <c r="F118" s="29"/>
    </row>
    <row r="119" spans="1:6" ht="15" thickBot="1" x14ac:dyDescent="0.35">
      <c r="A119" s="29"/>
      <c r="B119" s="29"/>
      <c r="C119" s="29"/>
      <c r="D119" s="29"/>
      <c r="E119" s="29"/>
      <c r="F119" s="29"/>
    </row>
    <row r="120" spans="1:6" ht="15" thickBot="1" x14ac:dyDescent="0.35">
      <c r="A120" s="29"/>
      <c r="B120" s="29"/>
      <c r="C120" s="29"/>
      <c r="D120" s="29"/>
      <c r="E120" s="29"/>
      <c r="F120" s="29"/>
    </row>
    <row r="121" spans="1:6" ht="15" thickBot="1" x14ac:dyDescent="0.35">
      <c r="A121" s="27"/>
    </row>
    <row r="122" spans="1:6" ht="15" thickBot="1" x14ac:dyDescent="0.35">
      <c r="A122" s="29"/>
      <c r="B122" s="29"/>
      <c r="C122" s="29"/>
      <c r="D122" s="29"/>
      <c r="E122" s="29"/>
      <c r="F122" s="29"/>
    </row>
    <row r="123" spans="1:6" ht="15" thickBot="1" x14ac:dyDescent="0.35">
      <c r="A123" s="29"/>
      <c r="B123" s="29"/>
      <c r="C123" s="29"/>
      <c r="D123" s="29"/>
      <c r="E123" s="29"/>
      <c r="F123" s="29"/>
    </row>
    <row r="124" spans="1:6" ht="15" thickBot="1" x14ac:dyDescent="0.35">
      <c r="A124" s="29"/>
      <c r="B124" s="29"/>
      <c r="C124" s="29"/>
      <c r="D124" s="29"/>
      <c r="E124" s="29"/>
      <c r="F124" s="29"/>
    </row>
    <row r="125" spans="1:6" ht="15" thickBot="1" x14ac:dyDescent="0.35">
      <c r="A125" s="29"/>
      <c r="B125" s="29"/>
      <c r="C125" s="29"/>
      <c r="D125" s="29"/>
      <c r="E125" s="29"/>
      <c r="F125" s="29"/>
    </row>
    <row r="126" spans="1:6" ht="15" thickBot="1" x14ac:dyDescent="0.35">
      <c r="A126" s="29"/>
      <c r="B126" s="29"/>
      <c r="C126" s="29"/>
      <c r="D126" s="29"/>
      <c r="E126" s="29"/>
      <c r="F126" s="29"/>
    </row>
    <row r="127" spans="1:6" ht="15" thickBot="1" x14ac:dyDescent="0.35">
      <c r="A127" s="29"/>
      <c r="B127" s="29"/>
      <c r="C127" s="29"/>
      <c r="D127" s="29"/>
      <c r="E127" s="29"/>
      <c r="F127" s="29"/>
    </row>
    <row r="128" spans="1:6" ht="15" thickBot="1" x14ac:dyDescent="0.35">
      <c r="A128" s="27"/>
    </row>
    <row r="129" spans="1:6" ht="15" thickBot="1" x14ac:dyDescent="0.35">
      <c r="A129" s="29"/>
      <c r="B129" s="29"/>
      <c r="C129" s="29"/>
      <c r="D129" s="29"/>
      <c r="E129" s="29"/>
      <c r="F129" s="29"/>
    </row>
    <row r="130" spans="1:6" ht="15" thickBot="1" x14ac:dyDescent="0.35">
      <c r="A130" s="29"/>
      <c r="B130" s="29"/>
      <c r="C130" s="29"/>
      <c r="D130" s="29"/>
      <c r="E130" s="29"/>
      <c r="F130" s="29"/>
    </row>
    <row r="131" spans="1:6" ht="15" thickBot="1" x14ac:dyDescent="0.35">
      <c r="A131" s="29"/>
      <c r="B131" s="29"/>
      <c r="C131" s="29"/>
      <c r="D131" s="29"/>
      <c r="E131" s="29"/>
      <c r="F131" s="29"/>
    </row>
    <row r="132" spans="1:6" ht="15" thickBot="1" x14ac:dyDescent="0.35">
      <c r="A132" s="29"/>
      <c r="B132" s="29"/>
      <c r="C132" s="29"/>
      <c r="D132" s="29"/>
      <c r="E132" s="29"/>
      <c r="F132" s="29"/>
    </row>
    <row r="133" spans="1:6" ht="15" thickBot="1" x14ac:dyDescent="0.35">
      <c r="A133" s="29"/>
      <c r="B133" s="29"/>
      <c r="C133" s="29"/>
      <c r="D133" s="29"/>
      <c r="E133" s="29"/>
      <c r="F133" s="29"/>
    </row>
    <row r="134" spans="1:6" ht="15" thickBot="1" x14ac:dyDescent="0.35">
      <c r="A134" s="29"/>
      <c r="B134" s="29"/>
      <c r="C134" s="29"/>
      <c r="D134" s="29"/>
      <c r="E134" s="29"/>
      <c r="F134" s="29"/>
    </row>
  </sheetData>
  <mergeCells count="10">
    <mergeCell ref="A81:A83"/>
    <mergeCell ref="B81:B83"/>
    <mergeCell ref="C81:C83"/>
    <mergeCell ref="D81:D83"/>
    <mergeCell ref="F81:F83"/>
    <mergeCell ref="A102:A103"/>
    <mergeCell ref="B102:B103"/>
    <mergeCell ref="C102:C103"/>
    <mergeCell ref="D102:D103"/>
    <mergeCell ref="F102:F10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43FE0-3B62-4312-8D96-D727633BFD7D}">
  <sheetPr codeName="Foglio8">
    <tabColor theme="0"/>
  </sheetPr>
  <dimension ref="A1:G114"/>
  <sheetViews>
    <sheetView topLeftCell="A70" workbookViewId="0">
      <selection sqref="A1:G78"/>
    </sheetView>
  </sheetViews>
  <sheetFormatPr defaultRowHeight="14.4" x14ac:dyDescent="0.3"/>
  <cols>
    <col min="2" max="2" width="16.5546875" customWidth="1"/>
    <col min="3" max="3" width="14.5546875" customWidth="1"/>
    <col min="4" max="4" width="20.21875" customWidth="1"/>
    <col min="5" max="5" width="26" customWidth="1"/>
    <col min="6" max="6" width="18.21875" customWidth="1"/>
    <col min="7" max="7" width="28.44140625" customWidth="1"/>
  </cols>
  <sheetData>
    <row r="1" spans="1:7" ht="66" customHeight="1" thickBot="1" x14ac:dyDescent="0.35">
      <c r="A1" s="27" t="s">
        <v>223</v>
      </c>
    </row>
    <row r="2" spans="1:7" ht="62.1" customHeight="1" thickBot="1" x14ac:dyDescent="0.35">
      <c r="A2" s="29" t="s">
        <v>88</v>
      </c>
      <c r="B2" s="29" t="s">
        <v>196</v>
      </c>
      <c r="C2" s="29" t="s">
        <v>188</v>
      </c>
      <c r="D2" s="29" t="s">
        <v>189</v>
      </c>
      <c r="E2" s="29" t="s">
        <v>197</v>
      </c>
      <c r="F2" s="29" t="s">
        <v>198</v>
      </c>
      <c r="G2" s="29" t="s">
        <v>199</v>
      </c>
    </row>
    <row r="3" spans="1:7" ht="54.75" customHeight="1" thickBot="1" x14ac:dyDescent="0.35">
      <c r="A3" s="29">
        <v>1</v>
      </c>
      <c r="B3" s="29"/>
      <c r="C3" s="29"/>
      <c r="D3" s="29"/>
      <c r="E3" s="29"/>
      <c r="F3" s="29"/>
      <c r="G3" s="29"/>
    </row>
    <row r="4" spans="1:7" ht="15" thickBot="1" x14ac:dyDescent="0.35">
      <c r="A4" s="29">
        <v>2</v>
      </c>
      <c r="B4" s="29"/>
      <c r="C4" s="29"/>
      <c r="D4" s="29"/>
      <c r="E4" s="29"/>
      <c r="F4" s="29"/>
      <c r="G4" s="29"/>
    </row>
    <row r="5" spans="1:7" ht="15" thickBot="1" x14ac:dyDescent="0.35">
      <c r="A5" s="29">
        <v>3</v>
      </c>
      <c r="B5" s="29"/>
      <c r="C5" s="29"/>
      <c r="D5" s="29"/>
      <c r="E5" s="29"/>
      <c r="F5" s="29"/>
      <c r="G5" s="29"/>
    </row>
    <row r="6" spans="1:7" ht="15" thickBot="1" x14ac:dyDescent="0.35">
      <c r="A6" s="29">
        <v>4</v>
      </c>
      <c r="B6" s="29"/>
      <c r="C6" s="29"/>
      <c r="D6" s="29"/>
      <c r="E6" s="29"/>
      <c r="F6" s="29"/>
      <c r="G6" s="29"/>
    </row>
    <row r="7" spans="1:7" ht="15" thickBot="1" x14ac:dyDescent="0.35">
      <c r="A7" s="27" t="s">
        <v>225</v>
      </c>
    </row>
    <row r="8" spans="1:7" ht="43.8" thickBot="1" x14ac:dyDescent="0.35">
      <c r="A8" s="29" t="s">
        <v>88</v>
      </c>
      <c r="B8" s="29" t="s">
        <v>196</v>
      </c>
      <c r="C8" s="29" t="s">
        <v>188</v>
      </c>
      <c r="D8" s="29" t="s">
        <v>189</v>
      </c>
      <c r="E8" s="29" t="s">
        <v>197</v>
      </c>
      <c r="F8" s="29" t="s">
        <v>198</v>
      </c>
      <c r="G8" s="29" t="s">
        <v>199</v>
      </c>
    </row>
    <row r="9" spans="1:7" ht="15" thickBot="1" x14ac:dyDescent="0.35">
      <c r="A9" s="29">
        <v>1</v>
      </c>
      <c r="B9" s="29"/>
      <c r="C9" s="29"/>
      <c r="D9" s="29"/>
      <c r="E9" s="29"/>
      <c r="F9" s="29"/>
      <c r="G9" s="29"/>
    </row>
    <row r="10" spans="1:7" ht="15" thickBot="1" x14ac:dyDescent="0.35">
      <c r="A10" s="29">
        <v>2</v>
      </c>
      <c r="B10" s="29"/>
      <c r="C10" s="29"/>
      <c r="D10" s="29"/>
      <c r="E10" s="29"/>
      <c r="F10" s="29"/>
      <c r="G10" s="29"/>
    </row>
    <row r="11" spans="1:7" ht="15" thickBot="1" x14ac:dyDescent="0.35">
      <c r="A11" s="29">
        <v>3</v>
      </c>
      <c r="B11" s="29"/>
      <c r="C11" s="29"/>
      <c r="D11" s="29"/>
      <c r="E11" s="29"/>
      <c r="F11" s="29"/>
      <c r="G11" s="29"/>
    </row>
    <row r="12" spans="1:7" ht="15" thickBot="1" x14ac:dyDescent="0.35">
      <c r="A12" s="29">
        <v>4</v>
      </c>
      <c r="B12" s="29"/>
      <c r="C12" s="29"/>
      <c r="D12" s="29"/>
      <c r="E12" s="29"/>
      <c r="F12" s="29"/>
      <c r="G12" s="29"/>
    </row>
    <row r="13" spans="1:7" ht="15" thickBot="1" x14ac:dyDescent="0.35">
      <c r="A13" s="27" t="s">
        <v>227</v>
      </c>
    </row>
    <row r="14" spans="1:7" ht="43.8" thickBot="1" x14ac:dyDescent="0.35">
      <c r="A14" s="29" t="s">
        <v>88</v>
      </c>
      <c r="B14" s="29" t="s">
        <v>196</v>
      </c>
      <c r="C14" s="29" t="s">
        <v>188</v>
      </c>
      <c r="D14" s="29" t="s">
        <v>189</v>
      </c>
      <c r="E14" s="29" t="s">
        <v>197</v>
      </c>
      <c r="F14" s="29" t="s">
        <v>198</v>
      </c>
      <c r="G14" s="29" t="s">
        <v>199</v>
      </c>
    </row>
    <row r="15" spans="1:7" ht="15" thickBot="1" x14ac:dyDescent="0.35">
      <c r="A15" s="29">
        <v>1</v>
      </c>
      <c r="B15" s="29"/>
      <c r="C15" s="29"/>
      <c r="D15" s="29"/>
      <c r="E15" s="29"/>
      <c r="F15" s="29"/>
      <c r="G15" s="29"/>
    </row>
    <row r="16" spans="1:7" ht="15" thickBot="1" x14ac:dyDescent="0.35">
      <c r="A16" s="29">
        <v>2</v>
      </c>
      <c r="B16" s="29"/>
      <c r="C16" s="29"/>
      <c r="D16" s="29"/>
      <c r="E16" s="29"/>
      <c r="F16" s="29"/>
      <c r="G16" s="29"/>
    </row>
    <row r="17" spans="1:7" ht="15" thickBot="1" x14ac:dyDescent="0.35">
      <c r="A17" s="29">
        <v>3</v>
      </c>
      <c r="B17" s="29"/>
      <c r="C17" s="29"/>
      <c r="D17" s="29"/>
      <c r="E17" s="29"/>
      <c r="F17" s="29"/>
      <c r="G17" s="29"/>
    </row>
    <row r="18" spans="1:7" ht="15" thickBot="1" x14ac:dyDescent="0.35">
      <c r="A18" s="29">
        <v>4</v>
      </c>
      <c r="B18" s="29"/>
      <c r="C18" s="29"/>
      <c r="D18" s="29"/>
      <c r="E18" s="29"/>
      <c r="F18" s="29"/>
      <c r="G18" s="29"/>
    </row>
    <row r="19" spans="1:7" ht="15" thickBot="1" x14ac:dyDescent="0.35">
      <c r="A19" s="27" t="s">
        <v>229</v>
      </c>
    </row>
    <row r="20" spans="1:7" ht="43.8" thickBot="1" x14ac:dyDescent="0.35">
      <c r="A20" s="29" t="s">
        <v>88</v>
      </c>
      <c r="B20" s="29" t="s">
        <v>196</v>
      </c>
      <c r="C20" s="29" t="s">
        <v>188</v>
      </c>
      <c r="D20" s="29" t="s">
        <v>189</v>
      </c>
      <c r="E20" s="29" t="s">
        <v>197</v>
      </c>
      <c r="F20" s="29" t="s">
        <v>198</v>
      </c>
      <c r="G20" s="29" t="s">
        <v>199</v>
      </c>
    </row>
    <row r="21" spans="1:7" ht="15" thickBot="1" x14ac:dyDescent="0.35">
      <c r="A21" s="29">
        <v>1</v>
      </c>
      <c r="B21" s="29"/>
      <c r="C21" s="29"/>
      <c r="D21" s="29"/>
      <c r="E21" s="29"/>
      <c r="F21" s="29"/>
      <c r="G21" s="29"/>
    </row>
    <row r="22" spans="1:7" ht="15" thickBot="1" x14ac:dyDescent="0.35">
      <c r="A22" s="29">
        <v>2</v>
      </c>
      <c r="B22" s="29"/>
      <c r="C22" s="29"/>
      <c r="D22" s="29"/>
      <c r="E22" s="29"/>
      <c r="F22" s="29"/>
      <c r="G22" s="29"/>
    </row>
    <row r="23" spans="1:7" ht="15" thickBot="1" x14ac:dyDescent="0.35">
      <c r="A23" s="29">
        <v>3</v>
      </c>
      <c r="B23" s="29"/>
      <c r="C23" s="29"/>
      <c r="D23" s="29"/>
      <c r="E23" s="29"/>
      <c r="F23" s="29"/>
      <c r="G23" s="29"/>
    </row>
    <row r="24" spans="1:7" ht="15" thickBot="1" x14ac:dyDescent="0.35">
      <c r="A24" s="29">
        <v>4</v>
      </c>
      <c r="B24" s="29"/>
      <c r="C24" s="29"/>
      <c r="D24" s="29"/>
      <c r="E24" s="29"/>
      <c r="F24" s="29"/>
      <c r="G24" s="29"/>
    </row>
    <row r="25" spans="1:7" ht="15" thickBot="1" x14ac:dyDescent="0.35">
      <c r="A25" s="27" t="s">
        <v>231</v>
      </c>
    </row>
    <row r="26" spans="1:7" ht="62.25" customHeight="1" thickBot="1" x14ac:dyDescent="0.35">
      <c r="A26" s="29" t="s">
        <v>88</v>
      </c>
      <c r="B26" s="29" t="s">
        <v>196</v>
      </c>
      <c r="C26" s="29" t="s">
        <v>188</v>
      </c>
      <c r="D26" s="29" t="s">
        <v>189</v>
      </c>
      <c r="E26" s="29" t="s">
        <v>197</v>
      </c>
      <c r="F26" s="29" t="s">
        <v>198</v>
      </c>
      <c r="G26" s="29" t="s">
        <v>199</v>
      </c>
    </row>
    <row r="27" spans="1:7" ht="15" thickBot="1" x14ac:dyDescent="0.35">
      <c r="A27" s="29">
        <v>1</v>
      </c>
      <c r="B27" s="29" t="s">
        <v>265</v>
      </c>
      <c r="C27" s="29" t="s">
        <v>193</v>
      </c>
      <c r="D27" s="49" t="s">
        <v>204</v>
      </c>
      <c r="E27" s="29"/>
      <c r="F27" s="29"/>
      <c r="G27" s="29"/>
    </row>
    <row r="28" spans="1:7" ht="15" thickBot="1" x14ac:dyDescent="0.35">
      <c r="A28" s="29">
        <v>2</v>
      </c>
      <c r="B28" s="29"/>
      <c r="C28" s="29"/>
      <c r="D28" s="29"/>
      <c r="E28" s="29"/>
      <c r="F28" s="29"/>
      <c r="G28" s="29"/>
    </row>
    <row r="29" spans="1:7" ht="15" thickBot="1" x14ac:dyDescent="0.35">
      <c r="A29" s="29">
        <v>3</v>
      </c>
      <c r="B29" s="29"/>
      <c r="C29" s="29"/>
      <c r="D29" s="29"/>
      <c r="E29" s="29"/>
      <c r="F29" s="29"/>
      <c r="G29" s="29"/>
    </row>
    <row r="30" spans="1:7" ht="15" thickBot="1" x14ac:dyDescent="0.35">
      <c r="A30" s="29">
        <v>4</v>
      </c>
      <c r="B30" s="29"/>
      <c r="C30" s="29"/>
      <c r="D30" s="29"/>
      <c r="E30" s="29"/>
      <c r="F30" s="29"/>
      <c r="G30" s="29"/>
    </row>
    <row r="31" spans="1:7" ht="15" thickBot="1" x14ac:dyDescent="0.35">
      <c r="A31" s="27" t="s">
        <v>232</v>
      </c>
    </row>
    <row r="32" spans="1:7" ht="43.8" thickBot="1" x14ac:dyDescent="0.35">
      <c r="A32" s="29" t="s">
        <v>88</v>
      </c>
      <c r="B32" s="29" t="s">
        <v>196</v>
      </c>
      <c r="C32" s="29" t="s">
        <v>188</v>
      </c>
      <c r="D32" s="29" t="s">
        <v>189</v>
      </c>
      <c r="E32" s="29" t="s">
        <v>197</v>
      </c>
      <c r="F32" s="29" t="s">
        <v>198</v>
      </c>
      <c r="G32" s="29" t="s">
        <v>199</v>
      </c>
    </row>
    <row r="33" spans="1:7" ht="15" thickBot="1" x14ac:dyDescent="0.35">
      <c r="A33" s="29">
        <v>1</v>
      </c>
      <c r="B33" s="29"/>
      <c r="C33" s="29"/>
      <c r="D33" s="29"/>
      <c r="E33" s="29"/>
      <c r="F33" s="29"/>
      <c r="G33" s="29"/>
    </row>
    <row r="34" spans="1:7" ht="15" thickBot="1" x14ac:dyDescent="0.35">
      <c r="A34" s="29">
        <v>2</v>
      </c>
      <c r="B34" s="29"/>
      <c r="C34" s="29"/>
      <c r="D34" s="29"/>
      <c r="E34" s="29"/>
      <c r="F34" s="29"/>
      <c r="G34" s="29"/>
    </row>
    <row r="35" spans="1:7" ht="15" thickBot="1" x14ac:dyDescent="0.35">
      <c r="A35" s="29">
        <v>3</v>
      </c>
      <c r="B35" s="29"/>
      <c r="C35" s="29"/>
      <c r="D35" s="29"/>
      <c r="E35" s="29"/>
      <c r="F35" s="29"/>
      <c r="G35" s="29"/>
    </row>
    <row r="36" spans="1:7" ht="15" thickBot="1" x14ac:dyDescent="0.35">
      <c r="A36" s="29">
        <v>4</v>
      </c>
      <c r="B36" s="29"/>
      <c r="C36" s="29"/>
      <c r="D36" s="29"/>
      <c r="E36" s="29"/>
      <c r="F36" s="29"/>
      <c r="G36" s="29"/>
    </row>
    <row r="37" spans="1:7" ht="15" thickBot="1" x14ac:dyDescent="0.35">
      <c r="A37" s="27" t="s">
        <v>234</v>
      </c>
    </row>
    <row r="38" spans="1:7" ht="43.8" thickBot="1" x14ac:dyDescent="0.35">
      <c r="A38" s="29" t="s">
        <v>88</v>
      </c>
      <c r="B38" s="29" t="s">
        <v>196</v>
      </c>
      <c r="C38" s="29" t="s">
        <v>188</v>
      </c>
      <c r="D38" s="29" t="s">
        <v>189</v>
      </c>
      <c r="E38" s="29" t="s">
        <v>197</v>
      </c>
      <c r="F38" s="29" t="s">
        <v>198</v>
      </c>
      <c r="G38" s="29" t="s">
        <v>199</v>
      </c>
    </row>
    <row r="39" spans="1:7" ht="15" thickBot="1" x14ac:dyDescent="0.35">
      <c r="A39" s="29">
        <v>1</v>
      </c>
      <c r="B39" s="29"/>
      <c r="C39" s="29"/>
      <c r="D39" s="29"/>
      <c r="E39" s="29"/>
      <c r="F39" s="29"/>
      <c r="G39" s="29"/>
    </row>
    <row r="40" spans="1:7" ht="15" thickBot="1" x14ac:dyDescent="0.35">
      <c r="A40" s="29">
        <v>2</v>
      </c>
      <c r="B40" s="29"/>
      <c r="C40" s="29"/>
      <c r="D40" s="29"/>
      <c r="E40" s="29"/>
      <c r="F40" s="29"/>
      <c r="G40" s="29"/>
    </row>
    <row r="41" spans="1:7" ht="15" thickBot="1" x14ac:dyDescent="0.35">
      <c r="A41" s="29">
        <v>3</v>
      </c>
      <c r="B41" s="29"/>
      <c r="C41" s="29"/>
      <c r="D41" s="29"/>
      <c r="E41" s="29"/>
      <c r="F41" s="29"/>
      <c r="G41" s="29"/>
    </row>
    <row r="42" spans="1:7" ht="15" thickBot="1" x14ac:dyDescent="0.35">
      <c r="A42" s="29">
        <v>4</v>
      </c>
      <c r="B42" s="29"/>
      <c r="C42" s="29"/>
      <c r="D42" s="29"/>
      <c r="E42" s="29"/>
      <c r="F42" s="29"/>
      <c r="G42" s="29"/>
    </row>
    <row r="43" spans="1:7" ht="15" thickBot="1" x14ac:dyDescent="0.35">
      <c r="A43" s="27" t="s">
        <v>236</v>
      </c>
    </row>
    <row r="44" spans="1:7" ht="43.8" thickBot="1" x14ac:dyDescent="0.35">
      <c r="A44" s="29" t="s">
        <v>88</v>
      </c>
      <c r="B44" s="29" t="s">
        <v>196</v>
      </c>
      <c r="C44" s="29" t="s">
        <v>188</v>
      </c>
      <c r="D44" s="29" t="s">
        <v>189</v>
      </c>
      <c r="E44" s="29" t="s">
        <v>197</v>
      </c>
      <c r="F44" s="29" t="s">
        <v>198</v>
      </c>
      <c r="G44" s="29" t="s">
        <v>199</v>
      </c>
    </row>
    <row r="45" spans="1:7" ht="15" thickBot="1" x14ac:dyDescent="0.35">
      <c r="A45" s="29">
        <v>1</v>
      </c>
      <c r="B45" s="29"/>
      <c r="C45" s="29"/>
      <c r="D45" s="29"/>
      <c r="E45" s="29"/>
      <c r="F45" s="29"/>
      <c r="G45" s="29"/>
    </row>
    <row r="46" spans="1:7" ht="15" thickBot="1" x14ac:dyDescent="0.35">
      <c r="A46" s="29">
        <v>2</v>
      </c>
      <c r="B46" s="29"/>
      <c r="C46" s="29"/>
      <c r="D46" s="29"/>
      <c r="E46" s="29"/>
      <c r="F46" s="29"/>
      <c r="G46" s="29"/>
    </row>
    <row r="47" spans="1:7" ht="15" thickBot="1" x14ac:dyDescent="0.35">
      <c r="A47" s="29">
        <v>3</v>
      </c>
      <c r="B47" s="29"/>
      <c r="C47" s="29"/>
      <c r="D47" s="29"/>
      <c r="E47" s="29"/>
      <c r="F47" s="29"/>
      <c r="G47" s="29"/>
    </row>
    <row r="48" spans="1:7" ht="15" thickBot="1" x14ac:dyDescent="0.35">
      <c r="A48" s="29">
        <v>4</v>
      </c>
      <c r="B48" s="29"/>
      <c r="C48" s="29"/>
      <c r="D48" s="29"/>
      <c r="E48" s="29"/>
      <c r="F48" s="29"/>
      <c r="G48" s="29"/>
    </row>
    <row r="49" spans="1:7" ht="15" thickBot="1" x14ac:dyDescent="0.35">
      <c r="A49" s="27" t="s">
        <v>238</v>
      </c>
    </row>
    <row r="50" spans="1:7" ht="43.8" thickBot="1" x14ac:dyDescent="0.35">
      <c r="A50" s="29" t="s">
        <v>88</v>
      </c>
      <c r="B50" s="29" t="s">
        <v>196</v>
      </c>
      <c r="C50" s="29" t="s">
        <v>188</v>
      </c>
      <c r="D50" s="29" t="s">
        <v>189</v>
      </c>
      <c r="E50" s="29" t="s">
        <v>197</v>
      </c>
      <c r="F50" s="29" t="s">
        <v>198</v>
      </c>
      <c r="G50" s="29" t="s">
        <v>199</v>
      </c>
    </row>
    <row r="51" spans="1:7" ht="15" thickBot="1" x14ac:dyDescent="0.35">
      <c r="A51" s="29">
        <v>1</v>
      </c>
      <c r="B51" s="29"/>
      <c r="C51" s="29"/>
      <c r="D51" s="29"/>
      <c r="E51" s="29"/>
      <c r="F51" s="29"/>
      <c r="G51" s="29"/>
    </row>
    <row r="52" spans="1:7" ht="15" thickBot="1" x14ac:dyDescent="0.35">
      <c r="A52" s="29">
        <v>2</v>
      </c>
      <c r="B52" s="29"/>
      <c r="C52" s="29"/>
      <c r="D52" s="29"/>
      <c r="E52" s="29"/>
      <c r="F52" s="29"/>
      <c r="G52" s="29"/>
    </row>
    <row r="53" spans="1:7" ht="15" thickBot="1" x14ac:dyDescent="0.35">
      <c r="A53" s="29">
        <v>3</v>
      </c>
      <c r="B53" s="29"/>
      <c r="C53" s="29"/>
      <c r="D53" s="29"/>
      <c r="E53" s="29"/>
      <c r="F53" s="29"/>
      <c r="G53" s="29"/>
    </row>
    <row r="54" spans="1:7" ht="15" thickBot="1" x14ac:dyDescent="0.35">
      <c r="A54" s="29">
        <v>4</v>
      </c>
      <c r="B54" s="29"/>
      <c r="C54" s="29"/>
      <c r="D54" s="29"/>
      <c r="E54" s="29"/>
      <c r="F54" s="29"/>
      <c r="G54" s="29"/>
    </row>
    <row r="55" spans="1:7" ht="15" thickBot="1" x14ac:dyDescent="0.35">
      <c r="A55" s="27" t="s">
        <v>239</v>
      </c>
    </row>
    <row r="56" spans="1:7" ht="43.8" thickBot="1" x14ac:dyDescent="0.35">
      <c r="A56" s="29" t="s">
        <v>88</v>
      </c>
      <c r="B56" s="29" t="s">
        <v>196</v>
      </c>
      <c r="C56" s="29" t="s">
        <v>188</v>
      </c>
      <c r="D56" s="29" t="s">
        <v>189</v>
      </c>
      <c r="E56" s="29" t="s">
        <v>197</v>
      </c>
      <c r="F56" s="29" t="s">
        <v>198</v>
      </c>
      <c r="G56" s="29" t="s">
        <v>199</v>
      </c>
    </row>
    <row r="57" spans="1:7" ht="15" thickBot="1" x14ac:dyDescent="0.35">
      <c r="A57" s="29">
        <v>1</v>
      </c>
      <c r="B57" s="29"/>
      <c r="C57" s="29"/>
      <c r="D57" s="29"/>
      <c r="E57" s="29"/>
      <c r="F57" s="29"/>
      <c r="G57" s="29"/>
    </row>
    <row r="58" spans="1:7" ht="15" thickBot="1" x14ac:dyDescent="0.35">
      <c r="A58" s="29">
        <v>2</v>
      </c>
      <c r="B58" s="29"/>
      <c r="C58" s="29"/>
      <c r="D58" s="29"/>
      <c r="E58" s="29"/>
      <c r="F58" s="29"/>
      <c r="G58" s="29"/>
    </row>
    <row r="59" spans="1:7" ht="15" thickBot="1" x14ac:dyDescent="0.35">
      <c r="A59" s="29">
        <v>3</v>
      </c>
      <c r="B59" s="29"/>
      <c r="C59" s="29"/>
      <c r="D59" s="29"/>
      <c r="E59" s="29"/>
      <c r="F59" s="29"/>
      <c r="G59" s="29"/>
    </row>
    <row r="60" spans="1:7" ht="15" thickBot="1" x14ac:dyDescent="0.35">
      <c r="A60" s="29">
        <v>4</v>
      </c>
      <c r="B60" s="29"/>
      <c r="C60" s="29"/>
      <c r="D60" s="29"/>
      <c r="E60" s="29"/>
      <c r="F60" s="29"/>
      <c r="G60" s="29"/>
    </row>
    <row r="61" spans="1:7" ht="15" thickBot="1" x14ac:dyDescent="0.35">
      <c r="A61" s="27" t="s">
        <v>241</v>
      </c>
    </row>
    <row r="62" spans="1:7" ht="43.8" thickBot="1" x14ac:dyDescent="0.35">
      <c r="A62" s="29" t="s">
        <v>88</v>
      </c>
      <c r="B62" s="29" t="s">
        <v>196</v>
      </c>
      <c r="C62" s="29" t="s">
        <v>188</v>
      </c>
      <c r="D62" s="29" t="s">
        <v>189</v>
      </c>
      <c r="E62" s="29" t="s">
        <v>197</v>
      </c>
      <c r="F62" s="29" t="s">
        <v>198</v>
      </c>
      <c r="G62" s="29" t="s">
        <v>199</v>
      </c>
    </row>
    <row r="63" spans="1:7" ht="15" thickBot="1" x14ac:dyDescent="0.35">
      <c r="A63" s="29">
        <v>1</v>
      </c>
      <c r="B63" s="29"/>
      <c r="C63" s="29"/>
      <c r="D63" s="29"/>
      <c r="E63" s="29"/>
      <c r="F63" s="29"/>
      <c r="G63" s="29"/>
    </row>
    <row r="64" spans="1:7" ht="15" thickBot="1" x14ac:dyDescent="0.35">
      <c r="A64" s="29">
        <v>2</v>
      </c>
      <c r="B64" s="29"/>
      <c r="C64" s="29"/>
      <c r="D64" s="29"/>
      <c r="E64" s="29"/>
      <c r="F64" s="29"/>
      <c r="G64" s="29"/>
    </row>
    <row r="65" spans="1:7" ht="15" thickBot="1" x14ac:dyDescent="0.35">
      <c r="A65" s="29">
        <v>3</v>
      </c>
      <c r="B65" s="29"/>
      <c r="C65" s="29"/>
      <c r="D65" s="29"/>
      <c r="E65" s="29"/>
      <c r="F65" s="29"/>
      <c r="G65" s="29"/>
    </row>
    <row r="66" spans="1:7" ht="15" thickBot="1" x14ac:dyDescent="0.35">
      <c r="A66" s="29">
        <v>4</v>
      </c>
      <c r="B66" s="29"/>
      <c r="C66" s="29"/>
      <c r="D66" s="29"/>
      <c r="E66" s="29"/>
      <c r="F66" s="29"/>
      <c r="G66" s="29"/>
    </row>
    <row r="67" spans="1:7" ht="15" thickBot="1" x14ac:dyDescent="0.35">
      <c r="A67" s="27" t="s">
        <v>243</v>
      </c>
    </row>
    <row r="68" spans="1:7" ht="43.8" thickBot="1" x14ac:dyDescent="0.35">
      <c r="A68" s="29" t="s">
        <v>88</v>
      </c>
      <c r="B68" s="29" t="s">
        <v>196</v>
      </c>
      <c r="C68" s="29" t="s">
        <v>188</v>
      </c>
      <c r="D68" s="29" t="s">
        <v>189</v>
      </c>
      <c r="E68" s="29" t="s">
        <v>197</v>
      </c>
      <c r="F68" s="29" t="s">
        <v>198</v>
      </c>
      <c r="G68" s="29" t="s">
        <v>199</v>
      </c>
    </row>
    <row r="69" spans="1:7" ht="15" thickBot="1" x14ac:dyDescent="0.35">
      <c r="A69" s="29">
        <v>1</v>
      </c>
      <c r="B69" s="29" t="s">
        <v>211</v>
      </c>
      <c r="C69" s="29" t="s">
        <v>200</v>
      </c>
      <c r="D69" s="29" t="s">
        <v>216</v>
      </c>
      <c r="E69" s="29" t="s">
        <v>217</v>
      </c>
      <c r="F69" s="29"/>
      <c r="G69" s="51">
        <v>46258</v>
      </c>
    </row>
    <row r="70" spans="1:7" ht="15" thickBot="1" x14ac:dyDescent="0.35">
      <c r="A70" s="29">
        <v>2</v>
      </c>
      <c r="B70" s="29" t="s">
        <v>211</v>
      </c>
      <c r="C70" s="29" t="s">
        <v>193</v>
      </c>
      <c r="D70" s="29" t="s">
        <v>218</v>
      </c>
      <c r="E70" s="29" t="s">
        <v>217</v>
      </c>
      <c r="F70" s="29"/>
      <c r="G70" s="51">
        <v>46260</v>
      </c>
    </row>
    <row r="71" spans="1:7" ht="15" thickBot="1" x14ac:dyDescent="0.35">
      <c r="A71" s="29">
        <v>3</v>
      </c>
      <c r="B71" s="29" t="s">
        <v>211</v>
      </c>
      <c r="C71" s="29" t="s">
        <v>200</v>
      </c>
      <c r="D71" s="29" t="s">
        <v>219</v>
      </c>
      <c r="E71" s="29" t="s">
        <v>220</v>
      </c>
      <c r="F71" s="29"/>
      <c r="G71" s="51">
        <v>46258</v>
      </c>
    </row>
    <row r="72" spans="1:7" ht="15" thickBot="1" x14ac:dyDescent="0.35">
      <c r="A72" s="29">
        <v>4</v>
      </c>
      <c r="B72" s="29" t="s">
        <v>211</v>
      </c>
      <c r="C72" s="29" t="s">
        <v>193</v>
      </c>
      <c r="D72" s="29" t="s">
        <v>221</v>
      </c>
      <c r="E72" s="29" t="s">
        <v>220</v>
      </c>
      <c r="F72" s="29"/>
      <c r="G72" s="51">
        <v>46260</v>
      </c>
    </row>
    <row r="73" spans="1:7" ht="15" thickBot="1" x14ac:dyDescent="0.35">
      <c r="A73" s="27" t="s">
        <v>245</v>
      </c>
    </row>
    <row r="74" spans="1:7" ht="43.8" thickBot="1" x14ac:dyDescent="0.35">
      <c r="A74" s="29" t="s">
        <v>88</v>
      </c>
      <c r="B74" s="29" t="s">
        <v>196</v>
      </c>
      <c r="C74" s="29" t="s">
        <v>188</v>
      </c>
      <c r="D74" s="29" t="s">
        <v>189</v>
      </c>
      <c r="E74" s="29" t="s">
        <v>197</v>
      </c>
      <c r="F74" s="29" t="s">
        <v>198</v>
      </c>
      <c r="G74" s="29" t="s">
        <v>199</v>
      </c>
    </row>
    <row r="75" spans="1:7" ht="15" thickBot="1" x14ac:dyDescent="0.35">
      <c r="A75" s="29">
        <v>1</v>
      </c>
      <c r="B75" s="29"/>
      <c r="C75" s="29"/>
      <c r="D75" s="29"/>
      <c r="E75" s="29"/>
      <c r="F75" s="29"/>
      <c r="G75" s="29"/>
    </row>
    <row r="76" spans="1:7" ht="15" thickBot="1" x14ac:dyDescent="0.35">
      <c r="A76" s="29">
        <v>2</v>
      </c>
      <c r="B76" s="29"/>
      <c r="C76" s="29"/>
      <c r="D76" s="29"/>
      <c r="E76" s="29"/>
      <c r="F76" s="29"/>
      <c r="G76" s="29"/>
    </row>
    <row r="77" spans="1:7" ht="15" thickBot="1" x14ac:dyDescent="0.35">
      <c r="A77" s="29">
        <v>3</v>
      </c>
      <c r="B77" s="29"/>
      <c r="C77" s="29"/>
      <c r="D77" s="29"/>
      <c r="E77" s="29"/>
      <c r="F77" s="29"/>
      <c r="G77" s="29"/>
    </row>
    <row r="78" spans="1:7" ht="15" thickBot="1" x14ac:dyDescent="0.35">
      <c r="A78" s="29">
        <v>4</v>
      </c>
      <c r="B78" s="29"/>
      <c r="C78" s="29"/>
      <c r="D78" s="29"/>
      <c r="E78" s="29"/>
      <c r="F78" s="29"/>
      <c r="G78" s="29"/>
    </row>
    <row r="79" spans="1:7" ht="15" thickBot="1" x14ac:dyDescent="0.35">
      <c r="A79" s="27"/>
    </row>
    <row r="80" spans="1:7" ht="15" thickBot="1" x14ac:dyDescent="0.35">
      <c r="A80" s="29"/>
      <c r="B80" s="29"/>
      <c r="C80" s="29"/>
      <c r="D80" s="29"/>
      <c r="E80" s="29"/>
      <c r="F80" s="29"/>
      <c r="G80" s="29"/>
    </row>
    <row r="81" spans="1:7" ht="15" thickBot="1" x14ac:dyDescent="0.35">
      <c r="A81" s="29"/>
      <c r="B81" s="29"/>
      <c r="C81" s="29"/>
      <c r="D81" s="29"/>
      <c r="E81" s="29"/>
      <c r="F81" s="29"/>
      <c r="G81" s="29"/>
    </row>
    <row r="82" spans="1:7" ht="15" thickBot="1" x14ac:dyDescent="0.35">
      <c r="A82" s="29"/>
      <c r="B82" s="29"/>
      <c r="C82" s="29"/>
      <c r="D82" s="29"/>
      <c r="E82" s="29"/>
      <c r="F82" s="29"/>
      <c r="G82" s="29"/>
    </row>
    <row r="83" spans="1:7" ht="15" thickBot="1" x14ac:dyDescent="0.35">
      <c r="A83" s="29"/>
      <c r="B83" s="29"/>
      <c r="C83" s="29"/>
      <c r="D83" s="29"/>
      <c r="E83" s="29"/>
      <c r="F83" s="29"/>
      <c r="G83" s="29"/>
    </row>
    <row r="84" spans="1:7" ht="15" thickBot="1" x14ac:dyDescent="0.35">
      <c r="A84" s="29"/>
      <c r="B84" s="29"/>
      <c r="C84" s="29"/>
      <c r="D84" s="29"/>
      <c r="E84" s="29"/>
      <c r="F84" s="29"/>
      <c r="G84" s="29"/>
    </row>
    <row r="85" spans="1:7" ht="15" thickBot="1" x14ac:dyDescent="0.35">
      <c r="A85" s="27"/>
    </row>
    <row r="86" spans="1:7" ht="15" thickBot="1" x14ac:dyDescent="0.35">
      <c r="A86" s="29"/>
      <c r="B86" s="29"/>
      <c r="C86" s="29"/>
      <c r="D86" s="29"/>
      <c r="E86" s="29"/>
      <c r="F86" s="29"/>
      <c r="G86" s="29"/>
    </row>
    <row r="87" spans="1:7" ht="15" thickBot="1" x14ac:dyDescent="0.35">
      <c r="A87" s="29"/>
      <c r="B87" s="29"/>
      <c r="C87" s="29"/>
      <c r="D87" s="29"/>
      <c r="E87" s="29"/>
      <c r="F87" s="29"/>
      <c r="G87" s="29"/>
    </row>
    <row r="88" spans="1:7" ht="15" thickBot="1" x14ac:dyDescent="0.35">
      <c r="A88" s="29"/>
      <c r="B88" s="29"/>
      <c r="C88" s="29"/>
      <c r="D88" s="29"/>
      <c r="E88" s="29"/>
      <c r="F88" s="29"/>
      <c r="G88" s="29"/>
    </row>
    <row r="89" spans="1:7" ht="15" thickBot="1" x14ac:dyDescent="0.35">
      <c r="A89" s="29"/>
      <c r="B89" s="29"/>
      <c r="C89" s="29"/>
      <c r="D89" s="29"/>
      <c r="E89" s="29"/>
      <c r="F89" s="29"/>
      <c r="G89" s="29"/>
    </row>
    <row r="90" spans="1:7" ht="15" thickBot="1" x14ac:dyDescent="0.35">
      <c r="A90" s="29"/>
      <c r="B90" s="29"/>
      <c r="C90" s="29"/>
      <c r="D90" s="29"/>
      <c r="E90" s="29"/>
      <c r="F90" s="29"/>
      <c r="G90" s="29"/>
    </row>
    <row r="91" spans="1:7" ht="15" thickBot="1" x14ac:dyDescent="0.35">
      <c r="A91" s="27"/>
    </row>
    <row r="92" spans="1:7" ht="15" thickBot="1" x14ac:dyDescent="0.35">
      <c r="A92" s="29"/>
      <c r="B92" s="29"/>
      <c r="C92" s="29"/>
      <c r="D92" s="29"/>
      <c r="E92" s="29"/>
      <c r="F92" s="29"/>
      <c r="G92" s="29"/>
    </row>
    <row r="93" spans="1:7" ht="15" thickBot="1" x14ac:dyDescent="0.35">
      <c r="A93" s="29"/>
      <c r="B93" s="29"/>
      <c r="C93" s="29"/>
      <c r="D93" s="29"/>
      <c r="E93" s="29"/>
      <c r="F93" s="29"/>
      <c r="G93" s="29"/>
    </row>
    <row r="94" spans="1:7" ht="15" thickBot="1" x14ac:dyDescent="0.35">
      <c r="A94" s="29"/>
      <c r="B94" s="29"/>
      <c r="C94" s="29"/>
      <c r="D94" s="29"/>
      <c r="E94" s="29"/>
      <c r="F94" s="29"/>
      <c r="G94" s="29"/>
    </row>
    <row r="95" spans="1:7" ht="15" thickBot="1" x14ac:dyDescent="0.35">
      <c r="A95" s="29"/>
      <c r="B95" s="29"/>
      <c r="C95" s="29"/>
      <c r="D95" s="29"/>
      <c r="E95" s="29"/>
      <c r="F95" s="29"/>
      <c r="G95" s="29"/>
    </row>
    <row r="96" spans="1:7" ht="15" thickBot="1" x14ac:dyDescent="0.35">
      <c r="A96" s="29"/>
      <c r="B96" s="29"/>
      <c r="C96" s="29"/>
      <c r="D96" s="29"/>
      <c r="E96" s="29"/>
      <c r="F96" s="29"/>
      <c r="G96" s="29"/>
    </row>
    <row r="97" spans="1:7" ht="15" thickBot="1" x14ac:dyDescent="0.35">
      <c r="A97" s="27"/>
    </row>
    <row r="98" spans="1:7" ht="15" thickBot="1" x14ac:dyDescent="0.35">
      <c r="A98" s="29"/>
      <c r="B98" s="29"/>
      <c r="C98" s="29"/>
      <c r="D98" s="29"/>
      <c r="E98" s="29"/>
      <c r="F98" s="29"/>
      <c r="G98" s="29"/>
    </row>
    <row r="99" spans="1:7" ht="15" thickBot="1" x14ac:dyDescent="0.35">
      <c r="A99" s="29"/>
      <c r="B99" s="29"/>
      <c r="C99" s="29"/>
      <c r="D99" s="29"/>
      <c r="E99" s="29"/>
      <c r="F99" s="29"/>
      <c r="G99" s="29"/>
    </row>
    <row r="100" spans="1:7" ht="15" thickBot="1" x14ac:dyDescent="0.35">
      <c r="A100" s="29"/>
      <c r="B100" s="29"/>
      <c r="C100" s="29"/>
      <c r="D100" s="29"/>
      <c r="E100" s="29"/>
      <c r="F100" s="29"/>
      <c r="G100" s="29"/>
    </row>
    <row r="101" spans="1:7" ht="15" thickBot="1" x14ac:dyDescent="0.35">
      <c r="A101" s="29"/>
      <c r="B101" s="29"/>
      <c r="C101" s="29"/>
      <c r="D101" s="29"/>
      <c r="E101" s="29"/>
      <c r="F101" s="29"/>
      <c r="G101" s="29"/>
    </row>
    <row r="102" spans="1:7" ht="15" thickBot="1" x14ac:dyDescent="0.35">
      <c r="A102" s="29"/>
      <c r="B102" s="29"/>
      <c r="C102" s="29"/>
      <c r="D102" s="29"/>
      <c r="E102" s="29"/>
      <c r="F102" s="29"/>
      <c r="G102" s="29"/>
    </row>
    <row r="103" spans="1:7" ht="15" thickBot="1" x14ac:dyDescent="0.35">
      <c r="A103" s="27"/>
    </row>
    <row r="104" spans="1:7" ht="15" thickBot="1" x14ac:dyDescent="0.35">
      <c r="A104" s="29"/>
      <c r="B104" s="29"/>
      <c r="C104" s="29"/>
      <c r="D104" s="29"/>
      <c r="E104" s="29"/>
      <c r="F104" s="29"/>
      <c r="G104" s="29"/>
    </row>
    <row r="105" spans="1:7" ht="15" thickBot="1" x14ac:dyDescent="0.35">
      <c r="A105" s="29"/>
      <c r="B105" s="29"/>
      <c r="C105" s="29"/>
      <c r="D105" s="29"/>
      <c r="E105" s="29"/>
      <c r="F105" s="29"/>
      <c r="G105" s="29"/>
    </row>
    <row r="106" spans="1:7" ht="15" thickBot="1" x14ac:dyDescent="0.35">
      <c r="A106" s="29"/>
      <c r="B106" s="29"/>
      <c r="C106" s="29"/>
      <c r="D106" s="29"/>
      <c r="E106" s="29"/>
      <c r="F106" s="29"/>
      <c r="G106" s="29"/>
    </row>
    <row r="107" spans="1:7" ht="15" thickBot="1" x14ac:dyDescent="0.35">
      <c r="A107" s="29"/>
      <c r="B107" s="29"/>
      <c r="C107" s="29"/>
      <c r="D107" s="29"/>
      <c r="E107" s="29"/>
      <c r="F107" s="29"/>
      <c r="G107" s="29"/>
    </row>
    <row r="108" spans="1:7" ht="15" thickBot="1" x14ac:dyDescent="0.35">
      <c r="A108" s="29"/>
      <c r="B108" s="29"/>
      <c r="C108" s="29"/>
      <c r="D108" s="29"/>
      <c r="E108" s="29"/>
      <c r="F108" s="29"/>
      <c r="G108" s="29"/>
    </row>
    <row r="109" spans="1:7" ht="15" thickBot="1" x14ac:dyDescent="0.35">
      <c r="A109" s="27"/>
    </row>
    <row r="110" spans="1:7" ht="15" thickBot="1" x14ac:dyDescent="0.35">
      <c r="A110" s="29"/>
      <c r="B110" s="29"/>
      <c r="C110" s="29"/>
      <c r="D110" s="29"/>
      <c r="E110" s="29"/>
      <c r="F110" s="29"/>
      <c r="G110" s="29"/>
    </row>
    <row r="111" spans="1:7" ht="15" thickBot="1" x14ac:dyDescent="0.35">
      <c r="A111" s="29"/>
      <c r="B111" s="29"/>
      <c r="C111" s="29"/>
      <c r="D111" s="29"/>
      <c r="E111" s="29"/>
      <c r="F111" s="29"/>
      <c r="G111" s="29"/>
    </row>
    <row r="112" spans="1:7" ht="15" thickBot="1" x14ac:dyDescent="0.35">
      <c r="A112" s="29"/>
      <c r="B112" s="29"/>
      <c r="C112" s="29"/>
      <c r="D112" s="29"/>
      <c r="E112" s="29"/>
      <c r="F112" s="29"/>
      <c r="G112" s="29"/>
    </row>
    <row r="113" spans="1:7" ht="15" thickBot="1" x14ac:dyDescent="0.35">
      <c r="A113" s="29"/>
      <c r="B113" s="29"/>
      <c r="C113" s="29"/>
      <c r="D113" s="29"/>
      <c r="E113" s="29"/>
      <c r="F113" s="29"/>
      <c r="G113" s="29"/>
    </row>
    <row r="114" spans="1:7" ht="15" thickBot="1" x14ac:dyDescent="0.35">
      <c r="A114" s="29"/>
      <c r="B114" s="29"/>
      <c r="C114" s="29"/>
      <c r="D114" s="29"/>
      <c r="E114" s="29"/>
      <c r="F114" s="29"/>
      <c r="G114" s="2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A6F51-6B24-4B98-84EF-42276B66917D}">
  <sheetPr codeName="Foglio9">
    <tabColor theme="0"/>
  </sheetPr>
  <dimension ref="A1:H114"/>
  <sheetViews>
    <sheetView topLeftCell="A80" workbookViewId="0">
      <selection sqref="A1:G78"/>
    </sheetView>
  </sheetViews>
  <sheetFormatPr defaultRowHeight="14.4" x14ac:dyDescent="0.3"/>
  <cols>
    <col min="2" max="2" width="14.21875" customWidth="1"/>
    <col min="3" max="3" width="24.5546875" customWidth="1"/>
    <col min="4" max="4" width="21" customWidth="1"/>
    <col min="5" max="5" width="24.44140625" customWidth="1"/>
    <col min="6" max="6" width="16.5546875" customWidth="1"/>
    <col min="7" max="7" width="19.5546875" customWidth="1"/>
  </cols>
  <sheetData>
    <row r="1" spans="1:8" ht="48.6" customHeight="1" thickBot="1" x14ac:dyDescent="0.35">
      <c r="A1" s="27" t="s">
        <v>223</v>
      </c>
    </row>
    <row r="2" spans="1:8" ht="58.2" thickBot="1" x14ac:dyDescent="0.35">
      <c r="A2" s="29" t="s">
        <v>88</v>
      </c>
      <c r="B2" s="29" t="s">
        <v>196</v>
      </c>
      <c r="C2" s="29" t="s">
        <v>188</v>
      </c>
      <c r="D2" s="29" t="s">
        <v>189</v>
      </c>
      <c r="E2" s="29" t="s">
        <v>197</v>
      </c>
      <c r="F2" s="29" t="s">
        <v>198</v>
      </c>
      <c r="G2" s="29" t="s">
        <v>199</v>
      </c>
      <c r="H2" s="29"/>
    </row>
    <row r="3" spans="1:8" ht="15" thickBot="1" x14ac:dyDescent="0.35">
      <c r="A3" s="29">
        <v>1</v>
      </c>
      <c r="B3" s="29"/>
      <c r="C3" s="29"/>
      <c r="D3" s="29"/>
      <c r="E3" s="29"/>
      <c r="F3" s="29"/>
      <c r="G3" s="29"/>
      <c r="H3" s="29"/>
    </row>
    <row r="4" spans="1:8" ht="15" thickBot="1" x14ac:dyDescent="0.35">
      <c r="A4" s="29">
        <v>2</v>
      </c>
      <c r="B4" s="29"/>
      <c r="C4" s="29"/>
      <c r="D4" s="29"/>
      <c r="E4" s="29"/>
      <c r="F4" s="29"/>
      <c r="G4" s="29"/>
      <c r="H4" s="29"/>
    </row>
    <row r="5" spans="1:8" ht="15" thickBot="1" x14ac:dyDescent="0.35">
      <c r="A5" s="29">
        <v>3</v>
      </c>
      <c r="B5" s="29"/>
      <c r="C5" s="29"/>
      <c r="D5" s="29"/>
      <c r="E5" s="29"/>
      <c r="F5" s="29"/>
      <c r="G5" s="29"/>
      <c r="H5" s="29"/>
    </row>
    <row r="6" spans="1:8" ht="15" thickBot="1" x14ac:dyDescent="0.35">
      <c r="A6" s="29">
        <v>4</v>
      </c>
      <c r="B6" s="29"/>
      <c r="C6" s="29"/>
      <c r="D6" s="29"/>
      <c r="E6" s="29"/>
      <c r="F6" s="29"/>
      <c r="G6" s="29"/>
      <c r="H6" s="29"/>
    </row>
    <row r="7" spans="1:8" ht="15" thickBot="1" x14ac:dyDescent="0.35">
      <c r="A7" s="27" t="s">
        <v>225</v>
      </c>
    </row>
    <row r="8" spans="1:8" ht="58.2" thickBot="1" x14ac:dyDescent="0.35">
      <c r="A8" s="29" t="s">
        <v>88</v>
      </c>
      <c r="B8" s="29" t="s">
        <v>196</v>
      </c>
      <c r="C8" s="29" t="s">
        <v>188</v>
      </c>
      <c r="D8" s="29" t="s">
        <v>189</v>
      </c>
      <c r="E8" s="29" t="s">
        <v>197</v>
      </c>
      <c r="F8" s="29" t="s">
        <v>198</v>
      </c>
      <c r="G8" s="29" t="s">
        <v>199</v>
      </c>
    </row>
    <row r="9" spans="1:8" ht="15" thickBot="1" x14ac:dyDescent="0.35">
      <c r="A9" s="29">
        <v>1</v>
      </c>
      <c r="B9" s="29"/>
      <c r="C9" s="29"/>
      <c r="D9" s="29"/>
      <c r="E9" s="29"/>
      <c r="F9" s="29"/>
      <c r="G9" s="29"/>
    </row>
    <row r="10" spans="1:8" ht="15" thickBot="1" x14ac:dyDescent="0.35">
      <c r="A10" s="29">
        <v>2</v>
      </c>
      <c r="B10" s="29"/>
      <c r="C10" s="29"/>
      <c r="D10" s="29"/>
      <c r="E10" s="29"/>
      <c r="F10" s="29"/>
      <c r="G10" s="29"/>
    </row>
    <row r="11" spans="1:8" ht="15" thickBot="1" x14ac:dyDescent="0.35">
      <c r="A11" s="29">
        <v>3</v>
      </c>
      <c r="B11" s="29"/>
      <c r="C11" s="29"/>
      <c r="D11" s="29"/>
      <c r="E11" s="29"/>
      <c r="F11" s="29"/>
      <c r="G11" s="29"/>
    </row>
    <row r="12" spans="1:8" ht="15" thickBot="1" x14ac:dyDescent="0.35">
      <c r="A12" s="29">
        <v>4</v>
      </c>
      <c r="B12" s="29"/>
      <c r="C12" s="29"/>
      <c r="D12" s="29"/>
      <c r="E12" s="29"/>
      <c r="F12" s="29"/>
      <c r="G12" s="29"/>
    </row>
    <row r="13" spans="1:8" ht="15" thickBot="1" x14ac:dyDescent="0.35">
      <c r="A13" s="27" t="s">
        <v>227</v>
      </c>
    </row>
    <row r="14" spans="1:8" ht="58.2" thickBot="1" x14ac:dyDescent="0.35">
      <c r="A14" s="29" t="s">
        <v>88</v>
      </c>
      <c r="B14" s="29" t="s">
        <v>196</v>
      </c>
      <c r="C14" s="29" t="s">
        <v>188</v>
      </c>
      <c r="D14" s="29" t="s">
        <v>189</v>
      </c>
      <c r="E14" s="29" t="s">
        <v>197</v>
      </c>
      <c r="F14" s="29" t="s">
        <v>198</v>
      </c>
      <c r="G14" s="29" t="s">
        <v>199</v>
      </c>
    </row>
    <row r="15" spans="1:8" ht="15" thickBot="1" x14ac:dyDescent="0.35">
      <c r="A15" s="29">
        <v>1</v>
      </c>
      <c r="B15" s="29"/>
      <c r="C15" s="29"/>
      <c r="D15" s="29"/>
      <c r="E15" s="29"/>
      <c r="F15" s="29"/>
      <c r="G15" s="29"/>
    </row>
    <row r="16" spans="1:8" ht="15" thickBot="1" x14ac:dyDescent="0.35">
      <c r="A16" s="29">
        <v>2</v>
      </c>
      <c r="B16" s="29"/>
      <c r="C16" s="29"/>
      <c r="D16" s="29"/>
      <c r="E16" s="29"/>
      <c r="F16" s="29"/>
      <c r="G16" s="29"/>
    </row>
    <row r="17" spans="1:7" ht="15" thickBot="1" x14ac:dyDescent="0.35">
      <c r="A17" s="29">
        <v>3</v>
      </c>
      <c r="B17" s="29"/>
      <c r="C17" s="29"/>
      <c r="D17" s="29"/>
      <c r="E17" s="29"/>
      <c r="F17" s="29"/>
      <c r="G17" s="29"/>
    </row>
    <row r="18" spans="1:7" ht="15" thickBot="1" x14ac:dyDescent="0.35">
      <c r="A18" s="29">
        <v>4</v>
      </c>
      <c r="B18" s="29"/>
      <c r="C18" s="29"/>
      <c r="D18" s="29"/>
      <c r="E18" s="29"/>
      <c r="F18" s="29"/>
      <c r="G18" s="29"/>
    </row>
    <row r="19" spans="1:7" ht="15" thickBot="1" x14ac:dyDescent="0.35">
      <c r="A19" s="27" t="s">
        <v>229</v>
      </c>
    </row>
    <row r="20" spans="1:7" ht="58.2" thickBot="1" x14ac:dyDescent="0.35">
      <c r="A20" s="29" t="s">
        <v>88</v>
      </c>
      <c r="B20" s="29" t="s">
        <v>196</v>
      </c>
      <c r="C20" s="29" t="s">
        <v>188</v>
      </c>
      <c r="D20" s="29" t="s">
        <v>189</v>
      </c>
      <c r="E20" s="29" t="s">
        <v>197</v>
      </c>
      <c r="F20" s="29" t="s">
        <v>198</v>
      </c>
      <c r="G20" s="29" t="s">
        <v>199</v>
      </c>
    </row>
    <row r="21" spans="1:7" ht="15" thickBot="1" x14ac:dyDescent="0.35">
      <c r="A21" s="29">
        <v>1</v>
      </c>
      <c r="B21" s="29"/>
      <c r="C21" s="29"/>
      <c r="D21" s="29"/>
      <c r="E21" s="29"/>
      <c r="F21" s="29"/>
      <c r="G21" s="29"/>
    </row>
    <row r="22" spans="1:7" ht="15" thickBot="1" x14ac:dyDescent="0.35">
      <c r="A22" s="29">
        <v>2</v>
      </c>
      <c r="B22" s="29"/>
      <c r="C22" s="29"/>
      <c r="D22" s="29"/>
      <c r="E22" s="29"/>
      <c r="F22" s="29"/>
      <c r="G22" s="29"/>
    </row>
    <row r="23" spans="1:7" ht="15" thickBot="1" x14ac:dyDescent="0.35">
      <c r="A23" s="29">
        <v>3</v>
      </c>
      <c r="B23" s="29"/>
      <c r="C23" s="29"/>
      <c r="D23" s="29"/>
      <c r="E23" s="29"/>
      <c r="F23" s="29"/>
      <c r="G23" s="29"/>
    </row>
    <row r="24" spans="1:7" ht="15" thickBot="1" x14ac:dyDescent="0.35">
      <c r="A24" s="29">
        <v>4</v>
      </c>
      <c r="B24" s="29"/>
      <c r="C24" s="29"/>
      <c r="D24" s="29"/>
      <c r="E24" s="29"/>
      <c r="F24" s="29"/>
      <c r="G24" s="29"/>
    </row>
    <row r="25" spans="1:7" ht="15" thickBot="1" x14ac:dyDescent="0.35">
      <c r="A25" s="27" t="s">
        <v>231</v>
      </c>
    </row>
    <row r="26" spans="1:7" ht="58.2" thickBot="1" x14ac:dyDescent="0.35">
      <c r="A26" s="29" t="s">
        <v>88</v>
      </c>
      <c r="B26" s="29" t="s">
        <v>196</v>
      </c>
      <c r="C26" s="29" t="s">
        <v>188</v>
      </c>
      <c r="D26" s="29" t="s">
        <v>189</v>
      </c>
      <c r="E26" s="29" t="s">
        <v>197</v>
      </c>
      <c r="F26" s="29" t="s">
        <v>198</v>
      </c>
      <c r="G26" s="29" t="s">
        <v>199</v>
      </c>
    </row>
    <row r="27" spans="1:7" ht="15" thickBot="1" x14ac:dyDescent="0.35">
      <c r="A27" s="29">
        <v>1</v>
      </c>
      <c r="B27" s="29"/>
      <c r="C27" s="29"/>
      <c r="D27" s="29"/>
      <c r="E27" s="29"/>
      <c r="F27" s="29"/>
      <c r="G27" s="29"/>
    </row>
    <row r="28" spans="1:7" ht="15" thickBot="1" x14ac:dyDescent="0.35">
      <c r="A28" s="29">
        <v>2</v>
      </c>
      <c r="B28" s="29"/>
      <c r="C28" s="29"/>
      <c r="D28" s="29"/>
      <c r="E28" s="29"/>
      <c r="F28" s="29"/>
      <c r="G28" s="29"/>
    </row>
    <row r="29" spans="1:7" ht="15" thickBot="1" x14ac:dyDescent="0.35">
      <c r="A29" s="29">
        <v>3</v>
      </c>
      <c r="B29" s="29"/>
      <c r="C29" s="29"/>
      <c r="D29" s="29"/>
      <c r="E29" s="29"/>
      <c r="F29" s="29"/>
      <c r="G29" s="29"/>
    </row>
    <row r="30" spans="1:7" ht="15" thickBot="1" x14ac:dyDescent="0.35">
      <c r="A30" s="29">
        <v>4</v>
      </c>
      <c r="B30" s="29"/>
      <c r="C30" s="29"/>
      <c r="D30" s="29"/>
      <c r="E30" s="29"/>
      <c r="F30" s="29"/>
      <c r="G30" s="29"/>
    </row>
    <row r="31" spans="1:7" ht="15" thickBot="1" x14ac:dyDescent="0.35">
      <c r="A31" s="27" t="s">
        <v>232</v>
      </c>
    </row>
    <row r="32" spans="1:7" ht="58.2" thickBot="1" x14ac:dyDescent="0.35">
      <c r="A32" s="29" t="s">
        <v>88</v>
      </c>
      <c r="B32" s="29" t="s">
        <v>196</v>
      </c>
      <c r="C32" s="29" t="s">
        <v>188</v>
      </c>
      <c r="D32" s="29" t="s">
        <v>189</v>
      </c>
      <c r="E32" s="29" t="s">
        <v>197</v>
      </c>
      <c r="F32" s="29" t="s">
        <v>198</v>
      </c>
      <c r="G32" s="29" t="s">
        <v>199</v>
      </c>
    </row>
    <row r="33" spans="1:7" ht="15" thickBot="1" x14ac:dyDescent="0.35">
      <c r="A33" s="29">
        <v>1</v>
      </c>
      <c r="B33" s="29"/>
      <c r="C33" s="29"/>
      <c r="D33" s="29"/>
      <c r="E33" s="29"/>
      <c r="F33" s="29"/>
      <c r="G33" s="29"/>
    </row>
    <row r="34" spans="1:7" ht="15" thickBot="1" x14ac:dyDescent="0.35">
      <c r="A34" s="29">
        <v>2</v>
      </c>
      <c r="B34" s="29"/>
      <c r="C34" s="29"/>
      <c r="D34" s="29"/>
      <c r="E34" s="29"/>
      <c r="F34" s="29"/>
      <c r="G34" s="29"/>
    </row>
    <row r="35" spans="1:7" ht="15" thickBot="1" x14ac:dyDescent="0.35">
      <c r="A35" s="29">
        <v>3</v>
      </c>
      <c r="B35" s="29"/>
      <c r="C35" s="29"/>
      <c r="D35" s="29"/>
      <c r="E35" s="29"/>
      <c r="F35" s="29"/>
      <c r="G35" s="29"/>
    </row>
    <row r="36" spans="1:7" ht="15" thickBot="1" x14ac:dyDescent="0.35">
      <c r="A36" s="29">
        <v>4</v>
      </c>
      <c r="B36" s="29"/>
      <c r="C36" s="29"/>
      <c r="D36" s="29"/>
      <c r="E36" s="29"/>
      <c r="F36" s="29"/>
      <c r="G36" s="29"/>
    </row>
    <row r="37" spans="1:7" ht="15" thickBot="1" x14ac:dyDescent="0.35">
      <c r="A37" s="27" t="s">
        <v>234</v>
      </c>
    </row>
    <row r="38" spans="1:7" ht="58.2" thickBot="1" x14ac:dyDescent="0.35">
      <c r="A38" s="29" t="s">
        <v>88</v>
      </c>
      <c r="B38" s="29" t="s">
        <v>196</v>
      </c>
      <c r="C38" s="29" t="s">
        <v>188</v>
      </c>
      <c r="D38" s="29" t="s">
        <v>189</v>
      </c>
      <c r="E38" s="29" t="s">
        <v>197</v>
      </c>
      <c r="F38" s="29" t="s">
        <v>198</v>
      </c>
      <c r="G38" s="29" t="s">
        <v>199</v>
      </c>
    </row>
    <row r="39" spans="1:7" ht="15" thickBot="1" x14ac:dyDescent="0.35">
      <c r="A39" s="29">
        <v>1</v>
      </c>
      <c r="B39" s="29"/>
      <c r="C39" s="29"/>
      <c r="D39" s="29"/>
      <c r="E39" s="29"/>
      <c r="F39" s="29"/>
      <c r="G39" s="29"/>
    </row>
    <row r="40" spans="1:7" ht="15" thickBot="1" x14ac:dyDescent="0.35">
      <c r="A40" s="29">
        <v>2</v>
      </c>
      <c r="B40" s="29"/>
      <c r="C40" s="29"/>
      <c r="D40" s="29"/>
      <c r="E40" s="29"/>
      <c r="F40" s="29"/>
      <c r="G40" s="29"/>
    </row>
    <row r="41" spans="1:7" ht="15" thickBot="1" x14ac:dyDescent="0.35">
      <c r="A41" s="29">
        <v>3</v>
      </c>
      <c r="B41" s="29"/>
      <c r="C41" s="29"/>
      <c r="D41" s="29"/>
      <c r="E41" s="29"/>
      <c r="F41" s="29"/>
      <c r="G41" s="29"/>
    </row>
    <row r="42" spans="1:7" ht="15" thickBot="1" x14ac:dyDescent="0.35">
      <c r="A42" s="29">
        <v>4</v>
      </c>
      <c r="B42" s="29"/>
      <c r="C42" s="29"/>
      <c r="D42" s="29"/>
      <c r="E42" s="29"/>
      <c r="F42" s="29"/>
      <c r="G42" s="29"/>
    </row>
    <row r="43" spans="1:7" ht="15" thickBot="1" x14ac:dyDescent="0.35">
      <c r="A43" s="27" t="s">
        <v>236</v>
      </c>
    </row>
    <row r="44" spans="1:7" ht="58.2" thickBot="1" x14ac:dyDescent="0.35">
      <c r="A44" s="29" t="s">
        <v>88</v>
      </c>
      <c r="B44" s="29" t="s">
        <v>196</v>
      </c>
      <c r="C44" s="29" t="s">
        <v>188</v>
      </c>
      <c r="D44" s="29" t="s">
        <v>189</v>
      </c>
      <c r="E44" s="29" t="s">
        <v>197</v>
      </c>
      <c r="F44" s="29" t="s">
        <v>198</v>
      </c>
      <c r="G44" s="29" t="s">
        <v>199</v>
      </c>
    </row>
    <row r="45" spans="1:7" ht="58.2" thickBot="1" x14ac:dyDescent="0.35">
      <c r="A45" s="29">
        <v>1</v>
      </c>
      <c r="B45" s="29" t="s">
        <v>192</v>
      </c>
      <c r="C45" s="29" t="s">
        <v>200</v>
      </c>
      <c r="D45" s="29" t="s">
        <v>201</v>
      </c>
      <c r="E45" s="29" t="s">
        <v>202</v>
      </c>
      <c r="F45" s="29"/>
      <c r="G45" s="29"/>
    </row>
    <row r="46" spans="1:7" ht="58.2" thickBot="1" x14ac:dyDescent="0.35">
      <c r="A46" s="29">
        <v>2</v>
      </c>
      <c r="B46" s="29" t="s">
        <v>192</v>
      </c>
      <c r="C46" s="29" t="s">
        <v>193</v>
      </c>
      <c r="D46" s="29" t="s">
        <v>203</v>
      </c>
      <c r="E46" s="29" t="s">
        <v>202</v>
      </c>
      <c r="F46" s="29"/>
      <c r="G46" s="29"/>
    </row>
    <row r="47" spans="1:7" ht="15" thickBot="1" x14ac:dyDescent="0.35">
      <c r="A47" s="29">
        <v>3</v>
      </c>
      <c r="B47" s="29"/>
      <c r="C47" s="29"/>
      <c r="D47" s="29"/>
      <c r="E47" s="29"/>
      <c r="F47" s="29"/>
      <c r="G47" s="29"/>
    </row>
    <row r="48" spans="1:7" ht="15" thickBot="1" x14ac:dyDescent="0.35">
      <c r="A48" s="29">
        <v>4</v>
      </c>
      <c r="B48" s="29"/>
      <c r="C48" s="29"/>
      <c r="D48" s="29"/>
      <c r="E48" s="29"/>
      <c r="F48" s="29"/>
      <c r="G48" s="29"/>
    </row>
    <row r="49" spans="1:7" ht="15" thickBot="1" x14ac:dyDescent="0.35">
      <c r="A49" s="27" t="s">
        <v>238</v>
      </c>
    </row>
    <row r="50" spans="1:7" ht="58.2" thickBot="1" x14ac:dyDescent="0.35">
      <c r="A50" s="29" t="s">
        <v>88</v>
      </c>
      <c r="B50" s="29" t="s">
        <v>196</v>
      </c>
      <c r="C50" s="29" t="s">
        <v>188</v>
      </c>
      <c r="D50" s="29" t="s">
        <v>189</v>
      </c>
      <c r="E50" s="29" t="s">
        <v>197</v>
      </c>
      <c r="F50" s="29" t="s">
        <v>198</v>
      </c>
      <c r="G50" s="29" t="s">
        <v>199</v>
      </c>
    </row>
    <row r="51" spans="1:7" ht="15" thickBot="1" x14ac:dyDescent="0.35">
      <c r="A51" s="29">
        <v>1</v>
      </c>
      <c r="B51" s="29"/>
      <c r="C51" s="29"/>
      <c r="D51" s="29"/>
      <c r="E51" s="29"/>
      <c r="F51" s="29"/>
      <c r="G51" s="29"/>
    </row>
    <row r="52" spans="1:7" ht="15" thickBot="1" x14ac:dyDescent="0.35">
      <c r="A52" s="29">
        <v>2</v>
      </c>
      <c r="B52" s="29"/>
      <c r="C52" s="29"/>
      <c r="D52" s="29"/>
      <c r="E52" s="29"/>
      <c r="F52" s="29"/>
      <c r="G52" s="29"/>
    </row>
    <row r="53" spans="1:7" ht="15" thickBot="1" x14ac:dyDescent="0.35">
      <c r="A53" s="29">
        <v>3</v>
      </c>
      <c r="B53" s="29"/>
      <c r="C53" s="29"/>
      <c r="D53" s="29"/>
      <c r="E53" s="29"/>
      <c r="F53" s="29"/>
      <c r="G53" s="29"/>
    </row>
    <row r="54" spans="1:7" ht="15" thickBot="1" x14ac:dyDescent="0.35">
      <c r="A54" s="29">
        <v>4</v>
      </c>
      <c r="B54" s="29"/>
      <c r="C54" s="29"/>
      <c r="D54" s="29"/>
      <c r="E54" s="29"/>
      <c r="F54" s="29"/>
      <c r="G54" s="29"/>
    </row>
    <row r="55" spans="1:7" ht="15" thickBot="1" x14ac:dyDescent="0.35">
      <c r="A55" s="27" t="s">
        <v>239</v>
      </c>
    </row>
    <row r="56" spans="1:7" ht="58.2" thickBot="1" x14ac:dyDescent="0.35">
      <c r="A56" s="29" t="s">
        <v>88</v>
      </c>
      <c r="B56" s="29" t="s">
        <v>196</v>
      </c>
      <c r="C56" s="29" t="s">
        <v>188</v>
      </c>
      <c r="D56" s="29" t="s">
        <v>189</v>
      </c>
      <c r="E56" s="29" t="s">
        <v>197</v>
      </c>
      <c r="F56" s="29" t="s">
        <v>198</v>
      </c>
      <c r="G56" s="29" t="s">
        <v>199</v>
      </c>
    </row>
    <row r="57" spans="1:7" ht="15" thickBot="1" x14ac:dyDescent="0.35">
      <c r="A57" s="29">
        <v>1</v>
      </c>
      <c r="B57" s="29"/>
      <c r="C57" s="29"/>
      <c r="D57" s="29"/>
      <c r="E57" s="29"/>
      <c r="F57" s="29"/>
      <c r="G57" s="29"/>
    </row>
    <row r="58" spans="1:7" ht="15" thickBot="1" x14ac:dyDescent="0.35">
      <c r="A58" s="29">
        <v>2</v>
      </c>
      <c r="B58" s="29"/>
      <c r="C58" s="29"/>
      <c r="D58" s="29"/>
      <c r="E58" s="29"/>
      <c r="F58" s="29"/>
      <c r="G58" s="29"/>
    </row>
    <row r="59" spans="1:7" ht="15" thickBot="1" x14ac:dyDescent="0.35">
      <c r="A59" s="29">
        <v>3</v>
      </c>
      <c r="B59" s="29"/>
      <c r="C59" s="29"/>
      <c r="D59" s="29"/>
      <c r="E59" s="29"/>
      <c r="F59" s="29"/>
      <c r="G59" s="29"/>
    </row>
    <row r="60" spans="1:7" ht="15" thickBot="1" x14ac:dyDescent="0.35">
      <c r="A60" s="29">
        <v>4</v>
      </c>
      <c r="B60" s="29"/>
      <c r="C60" s="29"/>
      <c r="D60" s="29"/>
      <c r="E60" s="29"/>
      <c r="F60" s="29"/>
      <c r="G60" s="29"/>
    </row>
    <row r="61" spans="1:7" ht="15" thickBot="1" x14ac:dyDescent="0.35">
      <c r="A61" s="27" t="s">
        <v>241</v>
      </c>
    </row>
    <row r="62" spans="1:7" ht="58.2" thickBot="1" x14ac:dyDescent="0.35">
      <c r="A62" s="29" t="s">
        <v>88</v>
      </c>
      <c r="B62" s="29" t="s">
        <v>196</v>
      </c>
      <c r="C62" s="29" t="s">
        <v>188</v>
      </c>
      <c r="D62" s="29" t="s">
        <v>189</v>
      </c>
      <c r="E62" s="29" t="s">
        <v>197</v>
      </c>
      <c r="F62" s="29" t="s">
        <v>198</v>
      </c>
      <c r="G62" s="29" t="s">
        <v>199</v>
      </c>
    </row>
    <row r="63" spans="1:7" ht="15" thickBot="1" x14ac:dyDescent="0.35">
      <c r="A63" s="29">
        <v>1</v>
      </c>
      <c r="B63" s="29"/>
      <c r="C63" s="29"/>
      <c r="D63" s="29"/>
      <c r="E63" s="29"/>
      <c r="F63" s="29"/>
      <c r="G63" s="29"/>
    </row>
    <row r="64" spans="1:7" ht="15" thickBot="1" x14ac:dyDescent="0.35">
      <c r="A64" s="29">
        <v>2</v>
      </c>
      <c r="B64" s="29"/>
      <c r="C64" s="29"/>
      <c r="D64" s="29"/>
      <c r="E64" s="29"/>
      <c r="F64" s="29"/>
      <c r="G64" s="29"/>
    </row>
    <row r="65" spans="1:7" ht="15" thickBot="1" x14ac:dyDescent="0.35">
      <c r="A65" s="29">
        <v>3</v>
      </c>
      <c r="B65" s="29"/>
      <c r="C65" s="29"/>
      <c r="D65" s="29"/>
      <c r="E65" s="29"/>
      <c r="F65" s="29"/>
      <c r="G65" s="29"/>
    </row>
    <row r="66" spans="1:7" ht="15" thickBot="1" x14ac:dyDescent="0.35">
      <c r="A66" s="29">
        <v>4</v>
      </c>
      <c r="B66" s="29"/>
      <c r="C66" s="29"/>
      <c r="D66" s="29"/>
      <c r="E66" s="29"/>
      <c r="F66" s="29"/>
      <c r="G66" s="29"/>
    </row>
    <row r="67" spans="1:7" ht="15" thickBot="1" x14ac:dyDescent="0.35">
      <c r="A67" s="27" t="s">
        <v>243</v>
      </c>
    </row>
    <row r="68" spans="1:7" ht="58.2" thickBot="1" x14ac:dyDescent="0.35">
      <c r="A68" s="29" t="s">
        <v>88</v>
      </c>
      <c r="B68" s="29" t="s">
        <v>196</v>
      </c>
      <c r="C68" s="29" t="s">
        <v>188</v>
      </c>
      <c r="D68" s="29" t="s">
        <v>189</v>
      </c>
      <c r="E68" s="29" t="s">
        <v>197</v>
      </c>
      <c r="F68" s="29" t="s">
        <v>198</v>
      </c>
      <c r="G68" s="29" t="s">
        <v>199</v>
      </c>
    </row>
    <row r="69" spans="1:7" ht="15" thickBot="1" x14ac:dyDescent="0.35">
      <c r="A69" s="29">
        <v>1</v>
      </c>
      <c r="B69" s="29"/>
      <c r="C69" s="29"/>
      <c r="D69" s="29"/>
      <c r="E69" s="29"/>
      <c r="F69" s="29"/>
      <c r="G69" s="29"/>
    </row>
    <row r="70" spans="1:7" ht="15" thickBot="1" x14ac:dyDescent="0.35">
      <c r="A70" s="29">
        <v>2</v>
      </c>
      <c r="B70" s="29"/>
      <c r="C70" s="29"/>
      <c r="D70" s="29"/>
      <c r="E70" s="29"/>
      <c r="F70" s="29"/>
      <c r="G70" s="29"/>
    </row>
    <row r="71" spans="1:7" ht="15" thickBot="1" x14ac:dyDescent="0.35">
      <c r="A71" s="29">
        <v>3</v>
      </c>
      <c r="B71" s="29"/>
      <c r="C71" s="29"/>
      <c r="D71" s="29"/>
      <c r="E71" s="29"/>
      <c r="F71" s="29"/>
      <c r="G71" s="29"/>
    </row>
    <row r="72" spans="1:7" ht="15" thickBot="1" x14ac:dyDescent="0.35">
      <c r="A72" s="29">
        <v>4</v>
      </c>
      <c r="B72" s="29"/>
      <c r="C72" s="29"/>
      <c r="D72" s="29"/>
      <c r="E72" s="29"/>
      <c r="F72" s="29"/>
      <c r="G72" s="29"/>
    </row>
    <row r="73" spans="1:7" ht="15" thickBot="1" x14ac:dyDescent="0.35">
      <c r="A73" s="27" t="s">
        <v>245</v>
      </c>
    </row>
    <row r="74" spans="1:7" ht="56.25" customHeight="1" thickBot="1" x14ac:dyDescent="0.35">
      <c r="A74" s="29" t="s">
        <v>88</v>
      </c>
      <c r="B74" s="29" t="s">
        <v>196</v>
      </c>
      <c r="C74" s="29" t="s">
        <v>188</v>
      </c>
      <c r="D74" s="29" t="s">
        <v>189</v>
      </c>
      <c r="E74" s="29" t="s">
        <v>197</v>
      </c>
      <c r="F74" s="29" t="s">
        <v>198</v>
      </c>
      <c r="G74" s="29" t="s">
        <v>199</v>
      </c>
    </row>
    <row r="75" spans="1:7" ht="77.25" customHeight="1" thickBot="1" x14ac:dyDescent="0.35">
      <c r="A75" s="29">
        <v>1</v>
      </c>
      <c r="B75" s="29"/>
      <c r="C75" s="29"/>
      <c r="D75" s="29"/>
      <c r="E75" s="29"/>
      <c r="F75" s="29"/>
      <c r="G75" s="29"/>
    </row>
    <row r="76" spans="1:7" ht="81" customHeight="1" thickBot="1" x14ac:dyDescent="0.35">
      <c r="A76" s="29">
        <v>2</v>
      </c>
      <c r="B76" s="29"/>
      <c r="C76" s="29"/>
      <c r="D76" s="29"/>
      <c r="E76" s="29"/>
      <c r="F76" s="29"/>
      <c r="G76" s="29"/>
    </row>
    <row r="77" spans="1:7" ht="15" thickBot="1" x14ac:dyDescent="0.35">
      <c r="A77" s="29">
        <v>3</v>
      </c>
      <c r="B77" s="29"/>
      <c r="C77" s="29"/>
      <c r="D77" s="29"/>
      <c r="E77" s="29"/>
      <c r="F77" s="29"/>
      <c r="G77" s="29"/>
    </row>
    <row r="78" spans="1:7" ht="15" thickBot="1" x14ac:dyDescent="0.35">
      <c r="A78" s="29">
        <v>4</v>
      </c>
      <c r="B78" s="29"/>
      <c r="C78" s="29"/>
      <c r="D78" s="29"/>
      <c r="E78" s="29"/>
      <c r="F78" s="29"/>
      <c r="G78" s="29"/>
    </row>
    <row r="79" spans="1:7" ht="15" thickBot="1" x14ac:dyDescent="0.35">
      <c r="A79" s="27"/>
    </row>
    <row r="80" spans="1:7" ht="15" thickBot="1" x14ac:dyDescent="0.35">
      <c r="A80" s="29"/>
      <c r="B80" s="29"/>
      <c r="C80" s="29"/>
      <c r="D80" s="29"/>
      <c r="E80" s="29"/>
      <c r="F80" s="29"/>
      <c r="G80" s="29"/>
    </row>
    <row r="81" spans="1:7" ht="15" thickBot="1" x14ac:dyDescent="0.35">
      <c r="A81" s="29"/>
      <c r="B81" s="29"/>
      <c r="C81" s="29"/>
      <c r="D81" s="29"/>
      <c r="E81" s="29"/>
      <c r="F81" s="29"/>
      <c r="G81" s="29"/>
    </row>
    <row r="82" spans="1:7" ht="15" thickBot="1" x14ac:dyDescent="0.35">
      <c r="A82" s="29"/>
      <c r="B82" s="29"/>
      <c r="C82" s="29"/>
      <c r="D82" s="29"/>
      <c r="E82" s="29"/>
      <c r="F82" s="29"/>
      <c r="G82" s="29"/>
    </row>
    <row r="83" spans="1:7" ht="15" thickBot="1" x14ac:dyDescent="0.35">
      <c r="A83" s="29"/>
      <c r="B83" s="29"/>
      <c r="C83" s="29"/>
      <c r="D83" s="29"/>
      <c r="E83" s="29"/>
      <c r="F83" s="29"/>
      <c r="G83" s="29"/>
    </row>
    <row r="84" spans="1:7" ht="15" thickBot="1" x14ac:dyDescent="0.35">
      <c r="A84" s="29"/>
      <c r="B84" s="29"/>
      <c r="C84" s="29"/>
      <c r="D84" s="29"/>
      <c r="E84" s="29"/>
      <c r="F84" s="29"/>
      <c r="G84" s="29"/>
    </row>
    <row r="85" spans="1:7" ht="15" thickBot="1" x14ac:dyDescent="0.35">
      <c r="A85" s="27"/>
    </row>
    <row r="86" spans="1:7" ht="15" thickBot="1" x14ac:dyDescent="0.35">
      <c r="A86" s="29"/>
      <c r="B86" s="29"/>
      <c r="C86" s="29"/>
      <c r="D86" s="29"/>
      <c r="E86" s="29"/>
      <c r="F86" s="29"/>
      <c r="G86" s="29"/>
    </row>
    <row r="87" spans="1:7" ht="15" thickBot="1" x14ac:dyDescent="0.35">
      <c r="A87" s="29"/>
      <c r="B87" s="29"/>
      <c r="C87" s="29"/>
      <c r="D87" s="29"/>
      <c r="E87" s="29"/>
      <c r="F87" s="29"/>
      <c r="G87" s="29"/>
    </row>
    <row r="88" spans="1:7" ht="15" thickBot="1" x14ac:dyDescent="0.35">
      <c r="A88" s="29"/>
      <c r="B88" s="29"/>
      <c r="C88" s="29"/>
      <c r="D88" s="29"/>
      <c r="E88" s="29"/>
      <c r="F88" s="29"/>
      <c r="G88" s="29"/>
    </row>
    <row r="89" spans="1:7" ht="15" thickBot="1" x14ac:dyDescent="0.35">
      <c r="A89" s="29"/>
      <c r="B89" s="29"/>
      <c r="C89" s="29"/>
      <c r="D89" s="29"/>
      <c r="E89" s="29"/>
      <c r="F89" s="29"/>
      <c r="G89" s="29"/>
    </row>
    <row r="90" spans="1:7" ht="15" thickBot="1" x14ac:dyDescent="0.35">
      <c r="A90" s="29"/>
      <c r="B90" s="29"/>
      <c r="C90" s="29"/>
      <c r="D90" s="29"/>
      <c r="E90" s="29"/>
      <c r="F90" s="29"/>
      <c r="G90" s="29"/>
    </row>
    <row r="91" spans="1:7" ht="15" thickBot="1" x14ac:dyDescent="0.35">
      <c r="A91" s="27"/>
    </row>
    <row r="92" spans="1:7" ht="15" thickBot="1" x14ac:dyDescent="0.35">
      <c r="A92" s="29"/>
      <c r="B92" s="29"/>
      <c r="C92" s="29"/>
      <c r="D92" s="29"/>
      <c r="E92" s="29"/>
      <c r="F92" s="29"/>
      <c r="G92" s="29"/>
    </row>
    <row r="93" spans="1:7" ht="15" thickBot="1" x14ac:dyDescent="0.35">
      <c r="A93" s="29"/>
      <c r="B93" s="29"/>
      <c r="C93" s="29"/>
      <c r="D93" s="29"/>
      <c r="E93" s="29"/>
      <c r="F93" s="29"/>
      <c r="G93" s="29"/>
    </row>
    <row r="94" spans="1:7" ht="15" thickBot="1" x14ac:dyDescent="0.35">
      <c r="A94" s="29"/>
      <c r="B94" s="29"/>
      <c r="C94" s="29"/>
      <c r="D94" s="29"/>
      <c r="E94" s="29"/>
      <c r="F94" s="29"/>
      <c r="G94" s="29"/>
    </row>
    <row r="95" spans="1:7" ht="15" thickBot="1" x14ac:dyDescent="0.35">
      <c r="A95" s="29"/>
      <c r="B95" s="29"/>
      <c r="C95" s="29"/>
      <c r="D95" s="29"/>
      <c r="E95" s="29"/>
      <c r="F95" s="29"/>
      <c r="G95" s="29"/>
    </row>
    <row r="96" spans="1:7" ht="15" thickBot="1" x14ac:dyDescent="0.35">
      <c r="A96" s="29"/>
      <c r="B96" s="29"/>
      <c r="C96" s="29"/>
      <c r="D96" s="29"/>
      <c r="E96" s="29"/>
      <c r="F96" s="29"/>
      <c r="G96" s="29"/>
    </row>
    <row r="97" spans="1:7" ht="15" thickBot="1" x14ac:dyDescent="0.35">
      <c r="A97" s="27"/>
    </row>
    <row r="98" spans="1:7" ht="15" thickBot="1" x14ac:dyDescent="0.35">
      <c r="A98" s="29"/>
      <c r="B98" s="29"/>
      <c r="C98" s="29"/>
      <c r="D98" s="29"/>
      <c r="E98" s="29"/>
      <c r="F98" s="29"/>
      <c r="G98" s="29"/>
    </row>
    <row r="99" spans="1:7" ht="15" thickBot="1" x14ac:dyDescent="0.35">
      <c r="A99" s="29"/>
      <c r="B99" s="29"/>
      <c r="C99" s="29"/>
      <c r="D99" s="29"/>
      <c r="E99" s="29"/>
      <c r="F99" s="29"/>
      <c r="G99" s="29"/>
    </row>
    <row r="100" spans="1:7" ht="15" thickBot="1" x14ac:dyDescent="0.35">
      <c r="A100" s="29"/>
      <c r="B100" s="29"/>
      <c r="C100" s="29"/>
      <c r="D100" s="29"/>
      <c r="E100" s="29"/>
      <c r="F100" s="29"/>
      <c r="G100" s="29"/>
    </row>
    <row r="101" spans="1:7" ht="15" thickBot="1" x14ac:dyDescent="0.35">
      <c r="A101" s="29"/>
      <c r="B101" s="29"/>
      <c r="C101" s="29"/>
      <c r="D101" s="29"/>
      <c r="E101" s="29"/>
      <c r="F101" s="29"/>
      <c r="G101" s="29"/>
    </row>
    <row r="102" spans="1:7" ht="15" thickBot="1" x14ac:dyDescent="0.35">
      <c r="A102" s="29"/>
      <c r="B102" s="29"/>
      <c r="C102" s="29"/>
      <c r="D102" s="29"/>
      <c r="E102" s="29"/>
      <c r="F102" s="29"/>
      <c r="G102" s="29"/>
    </row>
    <row r="103" spans="1:7" ht="15" thickBot="1" x14ac:dyDescent="0.35">
      <c r="A103" s="27"/>
    </row>
    <row r="104" spans="1:7" ht="15" thickBot="1" x14ac:dyDescent="0.35">
      <c r="A104" s="29"/>
      <c r="B104" s="29"/>
      <c r="C104" s="29"/>
      <c r="D104" s="29"/>
      <c r="E104" s="29"/>
      <c r="F104" s="29"/>
      <c r="G104" s="29"/>
    </row>
    <row r="105" spans="1:7" ht="15" thickBot="1" x14ac:dyDescent="0.35">
      <c r="A105" s="29"/>
      <c r="B105" s="29"/>
      <c r="C105" s="29"/>
      <c r="D105" s="29"/>
      <c r="E105" s="29"/>
      <c r="F105" s="29"/>
      <c r="G105" s="29"/>
    </row>
    <row r="106" spans="1:7" ht="15" thickBot="1" x14ac:dyDescent="0.35">
      <c r="A106" s="29"/>
      <c r="B106" s="29"/>
      <c r="C106" s="29"/>
      <c r="D106" s="29"/>
      <c r="E106" s="29"/>
      <c r="F106" s="29"/>
      <c r="G106" s="29"/>
    </row>
    <row r="107" spans="1:7" ht="15" thickBot="1" x14ac:dyDescent="0.35">
      <c r="A107" s="29"/>
      <c r="B107" s="29"/>
      <c r="C107" s="29"/>
      <c r="D107" s="29"/>
      <c r="E107" s="29"/>
      <c r="F107" s="29"/>
      <c r="G107" s="29"/>
    </row>
    <row r="108" spans="1:7" ht="15" thickBot="1" x14ac:dyDescent="0.35">
      <c r="A108" s="29"/>
      <c r="B108" s="29"/>
      <c r="C108" s="29"/>
      <c r="D108" s="29"/>
      <c r="E108" s="29"/>
      <c r="F108" s="29"/>
      <c r="G108" s="29"/>
    </row>
    <row r="109" spans="1:7" ht="15" thickBot="1" x14ac:dyDescent="0.35">
      <c r="A109" s="27"/>
    </row>
    <row r="110" spans="1:7" ht="15" thickBot="1" x14ac:dyDescent="0.35">
      <c r="A110" s="29"/>
      <c r="B110" s="29"/>
      <c r="C110" s="29"/>
      <c r="D110" s="29"/>
      <c r="E110" s="29"/>
      <c r="F110" s="29"/>
      <c r="G110" s="29"/>
    </row>
    <row r="111" spans="1:7" ht="15" thickBot="1" x14ac:dyDescent="0.35">
      <c r="A111" s="29"/>
      <c r="B111" s="29"/>
      <c r="C111" s="29"/>
      <c r="D111" s="29"/>
      <c r="E111" s="29"/>
      <c r="F111" s="29"/>
      <c r="G111" s="29"/>
    </row>
    <row r="112" spans="1:7" ht="15" thickBot="1" x14ac:dyDescent="0.35">
      <c r="A112" s="29"/>
      <c r="B112" s="29"/>
      <c r="C112" s="29"/>
      <c r="D112" s="29"/>
      <c r="E112" s="29"/>
      <c r="F112" s="29"/>
      <c r="G112" s="29"/>
    </row>
    <row r="113" spans="1:7" ht="15" thickBot="1" x14ac:dyDescent="0.35">
      <c r="A113" s="29"/>
      <c r="B113" s="29"/>
      <c r="C113" s="29"/>
      <c r="D113" s="29"/>
      <c r="E113" s="29"/>
      <c r="F113" s="29"/>
      <c r="G113" s="29"/>
    </row>
    <row r="114" spans="1:7" ht="15" thickBot="1" x14ac:dyDescent="0.35">
      <c r="A114" s="29"/>
      <c r="B114" s="29"/>
      <c r="C114" s="29"/>
      <c r="D114" s="29"/>
      <c r="E114" s="29"/>
      <c r="F114" s="29"/>
      <c r="G114" s="2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E4545-4761-48E2-BAEA-0191E42F3076}">
  <sheetPr codeName="Foglio11">
    <tabColor theme="0"/>
  </sheetPr>
  <dimension ref="A1:P100"/>
  <sheetViews>
    <sheetView topLeftCell="A91" workbookViewId="0">
      <selection activeCell="J111" sqref="J111"/>
    </sheetView>
  </sheetViews>
  <sheetFormatPr defaultRowHeight="14.4" x14ac:dyDescent="0.3"/>
  <sheetData>
    <row r="1" spans="1:16" ht="15" thickBot="1" x14ac:dyDescent="0.35">
      <c r="A1" s="27" t="s">
        <v>223</v>
      </c>
    </row>
    <row r="2" spans="1:16" ht="59.25" customHeight="1" x14ac:dyDescent="0.3">
      <c r="A2" s="76" t="s">
        <v>88</v>
      </c>
      <c r="B2" s="76" t="s">
        <v>276</v>
      </c>
      <c r="C2" s="76" t="s">
        <v>277</v>
      </c>
      <c r="D2" s="76" t="s">
        <v>89</v>
      </c>
      <c r="E2" s="76" t="s">
        <v>278</v>
      </c>
      <c r="F2" s="76" t="s">
        <v>91</v>
      </c>
      <c r="G2" s="76" t="s">
        <v>92</v>
      </c>
      <c r="H2" s="76" t="s">
        <v>94</v>
      </c>
      <c r="I2" s="76" t="s">
        <v>279</v>
      </c>
      <c r="J2" s="76" t="s">
        <v>280</v>
      </c>
      <c r="K2" s="30" t="s">
        <v>281</v>
      </c>
      <c r="L2" s="76" t="s">
        <v>283</v>
      </c>
      <c r="M2" s="76" t="s">
        <v>284</v>
      </c>
      <c r="N2" s="76" t="s">
        <v>285</v>
      </c>
      <c r="O2" s="76" t="s">
        <v>286</v>
      </c>
      <c r="P2" s="76" t="s">
        <v>98</v>
      </c>
    </row>
    <row r="3" spans="1:16" ht="29.4" thickBot="1" x14ac:dyDescent="0.35">
      <c r="A3" s="77"/>
      <c r="B3" s="77"/>
      <c r="C3" s="77"/>
      <c r="D3" s="77"/>
      <c r="E3" s="77"/>
      <c r="F3" s="77"/>
      <c r="G3" s="77"/>
      <c r="H3" s="77"/>
      <c r="I3" s="77"/>
      <c r="J3" s="77"/>
      <c r="K3" s="31" t="s">
        <v>282</v>
      </c>
      <c r="L3" s="77"/>
      <c r="M3" s="77"/>
      <c r="N3" s="77"/>
      <c r="O3" s="77"/>
      <c r="P3" s="77"/>
    </row>
    <row r="4" spans="1:16" ht="15" thickBot="1" x14ac:dyDescent="0.35">
      <c r="A4" s="29">
        <v>1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</row>
    <row r="5" spans="1:16" ht="15" thickBot="1" x14ac:dyDescent="0.35">
      <c r="A5" s="29">
        <v>2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</row>
    <row r="6" spans="1:16" ht="15" thickBot="1" x14ac:dyDescent="0.35">
      <c r="A6" s="29">
        <v>3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</row>
    <row r="7" spans="1:16" ht="15" thickBot="1" x14ac:dyDescent="0.35">
      <c r="A7" s="29">
        <v>4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</row>
    <row r="8" spans="1:16" ht="15" thickBot="1" x14ac:dyDescent="0.35">
      <c r="A8" s="29">
        <v>5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</row>
    <row r="9" spans="1:16" ht="15" thickBot="1" x14ac:dyDescent="0.35">
      <c r="A9" s="27" t="s">
        <v>225</v>
      </c>
    </row>
    <row r="10" spans="1:16" ht="59.25" customHeight="1" x14ac:dyDescent="0.3">
      <c r="A10" s="76" t="s">
        <v>88</v>
      </c>
      <c r="B10" s="76" t="s">
        <v>276</v>
      </c>
      <c r="C10" s="76" t="s">
        <v>277</v>
      </c>
      <c r="D10" s="76" t="s">
        <v>89</v>
      </c>
      <c r="E10" s="76" t="s">
        <v>278</v>
      </c>
      <c r="F10" s="76" t="s">
        <v>91</v>
      </c>
      <c r="G10" s="76" t="s">
        <v>92</v>
      </c>
      <c r="H10" s="76" t="s">
        <v>94</v>
      </c>
      <c r="I10" s="76" t="s">
        <v>279</v>
      </c>
      <c r="J10" s="76" t="s">
        <v>280</v>
      </c>
      <c r="K10" s="30" t="s">
        <v>281</v>
      </c>
      <c r="L10" s="76" t="s">
        <v>283</v>
      </c>
      <c r="M10" s="76" t="s">
        <v>284</v>
      </c>
      <c r="N10" s="76" t="s">
        <v>285</v>
      </c>
      <c r="O10" s="76" t="s">
        <v>286</v>
      </c>
      <c r="P10" s="76" t="s">
        <v>98</v>
      </c>
    </row>
    <row r="11" spans="1:16" ht="29.4" thickBot="1" x14ac:dyDescent="0.35">
      <c r="A11" s="77"/>
      <c r="B11" s="77"/>
      <c r="C11" s="77"/>
      <c r="D11" s="77"/>
      <c r="E11" s="77"/>
      <c r="F11" s="77"/>
      <c r="G11" s="77"/>
      <c r="H11" s="77"/>
      <c r="I11" s="77"/>
      <c r="J11" s="77"/>
      <c r="K11" s="31" t="s">
        <v>282</v>
      </c>
      <c r="L11" s="77"/>
      <c r="M11" s="77"/>
      <c r="N11" s="77"/>
      <c r="O11" s="77"/>
      <c r="P11" s="77"/>
    </row>
    <row r="12" spans="1:16" ht="15" thickBot="1" x14ac:dyDescent="0.35">
      <c r="A12" s="29">
        <v>1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</row>
    <row r="13" spans="1:16" ht="15" thickBot="1" x14ac:dyDescent="0.35">
      <c r="A13" s="29">
        <v>2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</row>
    <row r="14" spans="1:16" ht="15" thickBot="1" x14ac:dyDescent="0.35">
      <c r="A14" s="29">
        <v>3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</row>
    <row r="15" spans="1:16" ht="15" thickBot="1" x14ac:dyDescent="0.35">
      <c r="A15" s="29">
        <v>4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</row>
    <row r="16" spans="1:16" ht="15" thickBot="1" x14ac:dyDescent="0.35">
      <c r="A16" s="29">
        <v>5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</row>
    <row r="17" spans="1:16" ht="15" thickBot="1" x14ac:dyDescent="0.35">
      <c r="A17" s="27" t="s">
        <v>227</v>
      </c>
    </row>
    <row r="18" spans="1:16" ht="59.25" customHeight="1" x14ac:dyDescent="0.3">
      <c r="A18" s="76" t="s">
        <v>88</v>
      </c>
      <c r="B18" s="76" t="s">
        <v>276</v>
      </c>
      <c r="C18" s="76" t="s">
        <v>277</v>
      </c>
      <c r="D18" s="76" t="s">
        <v>89</v>
      </c>
      <c r="E18" s="76" t="s">
        <v>278</v>
      </c>
      <c r="F18" s="76" t="s">
        <v>91</v>
      </c>
      <c r="G18" s="76" t="s">
        <v>92</v>
      </c>
      <c r="H18" s="76" t="s">
        <v>94</v>
      </c>
      <c r="I18" s="76" t="s">
        <v>279</v>
      </c>
      <c r="J18" s="76" t="s">
        <v>280</v>
      </c>
      <c r="K18" s="30" t="s">
        <v>281</v>
      </c>
      <c r="L18" s="76" t="s">
        <v>283</v>
      </c>
      <c r="M18" s="76" t="s">
        <v>284</v>
      </c>
      <c r="N18" s="76" t="s">
        <v>285</v>
      </c>
      <c r="O18" s="76" t="s">
        <v>286</v>
      </c>
      <c r="P18" s="76" t="s">
        <v>98</v>
      </c>
    </row>
    <row r="19" spans="1:16" ht="29.4" thickBot="1" x14ac:dyDescent="0.35">
      <c r="A19" s="77"/>
      <c r="B19" s="77"/>
      <c r="C19" s="77"/>
      <c r="D19" s="77"/>
      <c r="E19" s="77"/>
      <c r="F19" s="77"/>
      <c r="G19" s="77"/>
      <c r="H19" s="77"/>
      <c r="I19" s="77"/>
      <c r="J19" s="77"/>
      <c r="K19" s="31" t="s">
        <v>282</v>
      </c>
      <c r="L19" s="77"/>
      <c r="M19" s="77"/>
      <c r="N19" s="77"/>
      <c r="O19" s="77"/>
      <c r="P19" s="77"/>
    </row>
    <row r="20" spans="1:16" ht="15" thickBot="1" x14ac:dyDescent="0.35">
      <c r="A20" s="29">
        <v>1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</row>
    <row r="21" spans="1:16" ht="15" thickBot="1" x14ac:dyDescent="0.35">
      <c r="A21" s="29">
        <v>2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</row>
    <row r="22" spans="1:16" ht="15" thickBot="1" x14ac:dyDescent="0.35">
      <c r="A22" s="29">
        <v>3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</row>
    <row r="23" spans="1:16" ht="15" thickBot="1" x14ac:dyDescent="0.35">
      <c r="A23" s="29">
        <v>4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</row>
    <row r="24" spans="1:16" ht="15" thickBot="1" x14ac:dyDescent="0.35">
      <c r="A24" s="29">
        <v>5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</row>
    <row r="25" spans="1:16" ht="15" thickBot="1" x14ac:dyDescent="0.35">
      <c r="A25" s="27" t="s">
        <v>229</v>
      </c>
    </row>
    <row r="26" spans="1:16" ht="59.25" customHeight="1" x14ac:dyDescent="0.3">
      <c r="A26" s="76" t="s">
        <v>88</v>
      </c>
      <c r="B26" s="76" t="s">
        <v>276</v>
      </c>
      <c r="C26" s="76" t="s">
        <v>277</v>
      </c>
      <c r="D26" s="76" t="s">
        <v>89</v>
      </c>
      <c r="E26" s="76" t="s">
        <v>278</v>
      </c>
      <c r="F26" s="76" t="s">
        <v>91</v>
      </c>
      <c r="G26" s="76" t="s">
        <v>92</v>
      </c>
      <c r="H26" s="76" t="s">
        <v>94</v>
      </c>
      <c r="I26" s="76" t="s">
        <v>279</v>
      </c>
      <c r="J26" s="76" t="s">
        <v>280</v>
      </c>
      <c r="K26" s="30" t="s">
        <v>281</v>
      </c>
      <c r="L26" s="76" t="s">
        <v>283</v>
      </c>
      <c r="M26" s="76" t="s">
        <v>284</v>
      </c>
      <c r="N26" s="76" t="s">
        <v>285</v>
      </c>
      <c r="O26" s="76" t="s">
        <v>286</v>
      </c>
      <c r="P26" s="76" t="s">
        <v>98</v>
      </c>
    </row>
    <row r="27" spans="1:16" ht="29.4" thickBot="1" x14ac:dyDescent="0.35">
      <c r="A27" s="77"/>
      <c r="B27" s="77"/>
      <c r="C27" s="77"/>
      <c r="D27" s="77"/>
      <c r="E27" s="77"/>
      <c r="F27" s="77"/>
      <c r="G27" s="77"/>
      <c r="H27" s="77"/>
      <c r="I27" s="77"/>
      <c r="J27" s="77"/>
      <c r="K27" s="31" t="s">
        <v>282</v>
      </c>
      <c r="L27" s="77"/>
      <c r="M27" s="77"/>
      <c r="N27" s="77"/>
      <c r="O27" s="77"/>
      <c r="P27" s="77"/>
    </row>
    <row r="28" spans="1:16" ht="15" thickBot="1" x14ac:dyDescent="0.35">
      <c r="A28" s="29">
        <v>1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</row>
    <row r="29" spans="1:16" ht="15" thickBot="1" x14ac:dyDescent="0.35">
      <c r="A29" s="29">
        <v>2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</row>
    <row r="30" spans="1:16" ht="15" thickBot="1" x14ac:dyDescent="0.35">
      <c r="A30" s="29">
        <v>3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</row>
    <row r="31" spans="1:16" ht="15" thickBot="1" x14ac:dyDescent="0.35">
      <c r="A31" s="29">
        <v>4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</row>
    <row r="32" spans="1:16" ht="15" thickBot="1" x14ac:dyDescent="0.35">
      <c r="A32" s="29">
        <v>5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</row>
    <row r="33" spans="1:16" ht="15" thickBot="1" x14ac:dyDescent="0.35">
      <c r="A33" s="27" t="s">
        <v>231</v>
      </c>
    </row>
    <row r="34" spans="1:16" ht="59.25" customHeight="1" x14ac:dyDescent="0.3">
      <c r="A34" s="76" t="s">
        <v>88</v>
      </c>
      <c r="B34" s="76" t="s">
        <v>276</v>
      </c>
      <c r="C34" s="76" t="s">
        <v>277</v>
      </c>
      <c r="D34" s="76" t="s">
        <v>89</v>
      </c>
      <c r="E34" s="76" t="s">
        <v>278</v>
      </c>
      <c r="F34" s="76" t="s">
        <v>91</v>
      </c>
      <c r="G34" s="76" t="s">
        <v>92</v>
      </c>
      <c r="H34" s="76" t="s">
        <v>94</v>
      </c>
      <c r="I34" s="76" t="s">
        <v>279</v>
      </c>
      <c r="J34" s="76" t="s">
        <v>280</v>
      </c>
      <c r="K34" s="30" t="s">
        <v>281</v>
      </c>
      <c r="L34" s="76" t="s">
        <v>283</v>
      </c>
      <c r="M34" s="76" t="s">
        <v>284</v>
      </c>
      <c r="N34" s="76" t="s">
        <v>285</v>
      </c>
      <c r="O34" s="76" t="s">
        <v>286</v>
      </c>
      <c r="P34" s="76" t="s">
        <v>98</v>
      </c>
    </row>
    <row r="35" spans="1:16" ht="29.4" thickBot="1" x14ac:dyDescent="0.35">
      <c r="A35" s="77"/>
      <c r="B35" s="77"/>
      <c r="C35" s="77"/>
      <c r="D35" s="77"/>
      <c r="E35" s="77"/>
      <c r="F35" s="77"/>
      <c r="G35" s="77"/>
      <c r="H35" s="77"/>
      <c r="I35" s="77"/>
      <c r="J35" s="77"/>
      <c r="K35" s="31" t="s">
        <v>282</v>
      </c>
      <c r="L35" s="77"/>
      <c r="M35" s="77"/>
      <c r="N35" s="77"/>
      <c r="O35" s="77"/>
      <c r="P35" s="77"/>
    </row>
    <row r="36" spans="1:16" ht="15" thickBot="1" x14ac:dyDescent="0.35">
      <c r="A36" s="29">
        <v>1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</row>
    <row r="37" spans="1:16" ht="15" thickBot="1" x14ac:dyDescent="0.35">
      <c r="A37" s="29">
        <v>2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</row>
    <row r="38" spans="1:16" ht="15" thickBot="1" x14ac:dyDescent="0.35">
      <c r="A38" s="29">
        <v>3</v>
      </c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</row>
    <row r="39" spans="1:16" ht="15" thickBot="1" x14ac:dyDescent="0.35">
      <c r="A39" s="29">
        <v>4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</row>
    <row r="40" spans="1:16" ht="15" thickBot="1" x14ac:dyDescent="0.35">
      <c r="A40" s="29">
        <v>5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</row>
    <row r="41" spans="1:16" ht="15" thickBot="1" x14ac:dyDescent="0.35">
      <c r="A41" s="27" t="s">
        <v>232</v>
      </c>
    </row>
    <row r="42" spans="1:16" ht="59.25" customHeight="1" x14ac:dyDescent="0.3">
      <c r="A42" s="76" t="s">
        <v>88</v>
      </c>
      <c r="B42" s="76" t="s">
        <v>276</v>
      </c>
      <c r="C42" s="76" t="s">
        <v>277</v>
      </c>
      <c r="D42" s="76" t="s">
        <v>89</v>
      </c>
      <c r="E42" s="76" t="s">
        <v>278</v>
      </c>
      <c r="F42" s="76" t="s">
        <v>91</v>
      </c>
      <c r="G42" s="76" t="s">
        <v>92</v>
      </c>
      <c r="H42" s="76" t="s">
        <v>94</v>
      </c>
      <c r="I42" s="76" t="s">
        <v>279</v>
      </c>
      <c r="J42" s="76" t="s">
        <v>280</v>
      </c>
      <c r="K42" s="30" t="s">
        <v>281</v>
      </c>
      <c r="L42" s="76" t="s">
        <v>283</v>
      </c>
      <c r="M42" s="76" t="s">
        <v>284</v>
      </c>
      <c r="N42" s="76" t="s">
        <v>285</v>
      </c>
      <c r="O42" s="76" t="s">
        <v>286</v>
      </c>
      <c r="P42" s="76" t="s">
        <v>98</v>
      </c>
    </row>
    <row r="43" spans="1:16" ht="29.4" thickBot="1" x14ac:dyDescent="0.35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31" t="s">
        <v>282</v>
      </c>
      <c r="L43" s="77"/>
      <c r="M43" s="77"/>
      <c r="N43" s="77"/>
      <c r="O43" s="77"/>
      <c r="P43" s="77"/>
    </row>
    <row r="44" spans="1:16" ht="15" thickBot="1" x14ac:dyDescent="0.35">
      <c r="A44" s="29">
        <v>1</v>
      </c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</row>
    <row r="45" spans="1:16" ht="15" thickBot="1" x14ac:dyDescent="0.35">
      <c r="A45" s="29">
        <v>2</v>
      </c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</row>
    <row r="46" spans="1:16" ht="15" thickBot="1" x14ac:dyDescent="0.35">
      <c r="A46" s="29">
        <v>3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</row>
    <row r="47" spans="1:16" ht="15" thickBot="1" x14ac:dyDescent="0.35">
      <c r="A47" s="29">
        <v>4</v>
      </c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</row>
    <row r="48" spans="1:16" ht="15" thickBot="1" x14ac:dyDescent="0.35">
      <c r="A48" s="29">
        <v>5</v>
      </c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</row>
    <row r="49" spans="1:16" ht="15" thickBot="1" x14ac:dyDescent="0.35">
      <c r="A49" s="27" t="s">
        <v>234</v>
      </c>
    </row>
    <row r="50" spans="1:16" ht="59.25" customHeight="1" x14ac:dyDescent="0.3">
      <c r="A50" s="76" t="s">
        <v>88</v>
      </c>
      <c r="B50" s="76" t="s">
        <v>276</v>
      </c>
      <c r="C50" s="76" t="s">
        <v>277</v>
      </c>
      <c r="D50" s="76" t="s">
        <v>89</v>
      </c>
      <c r="E50" s="76" t="s">
        <v>278</v>
      </c>
      <c r="F50" s="76" t="s">
        <v>91</v>
      </c>
      <c r="G50" s="76" t="s">
        <v>92</v>
      </c>
      <c r="H50" s="76" t="s">
        <v>94</v>
      </c>
      <c r="I50" s="76" t="s">
        <v>279</v>
      </c>
      <c r="J50" s="76" t="s">
        <v>280</v>
      </c>
      <c r="K50" s="30" t="s">
        <v>281</v>
      </c>
      <c r="L50" s="76" t="s">
        <v>283</v>
      </c>
      <c r="M50" s="76" t="s">
        <v>284</v>
      </c>
      <c r="N50" s="76" t="s">
        <v>285</v>
      </c>
      <c r="O50" s="76" t="s">
        <v>286</v>
      </c>
      <c r="P50" s="76" t="s">
        <v>98</v>
      </c>
    </row>
    <row r="51" spans="1:16" ht="29.4" thickBot="1" x14ac:dyDescent="0.35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31" t="s">
        <v>282</v>
      </c>
      <c r="L51" s="77"/>
      <c r="M51" s="77"/>
      <c r="N51" s="77"/>
      <c r="O51" s="77"/>
      <c r="P51" s="77"/>
    </row>
    <row r="52" spans="1:16" ht="15" thickBot="1" x14ac:dyDescent="0.35">
      <c r="A52" s="29">
        <v>1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</row>
    <row r="53" spans="1:16" ht="15" thickBot="1" x14ac:dyDescent="0.35">
      <c r="A53" s="29">
        <v>2</v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</row>
    <row r="54" spans="1:16" ht="15" thickBot="1" x14ac:dyDescent="0.35">
      <c r="A54" s="29">
        <v>3</v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</row>
    <row r="55" spans="1:16" ht="15" thickBot="1" x14ac:dyDescent="0.35">
      <c r="A55" s="29">
        <v>4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</row>
    <row r="56" spans="1:16" ht="15" thickBot="1" x14ac:dyDescent="0.35">
      <c r="A56" s="29">
        <v>5</v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</row>
    <row r="57" spans="1:16" ht="15" thickBot="1" x14ac:dyDescent="0.35">
      <c r="A57" s="27" t="s">
        <v>236</v>
      </c>
    </row>
    <row r="58" spans="1:16" ht="59.25" customHeight="1" x14ac:dyDescent="0.3">
      <c r="A58" s="76" t="s">
        <v>88</v>
      </c>
      <c r="B58" s="76" t="s">
        <v>276</v>
      </c>
      <c r="C58" s="76" t="s">
        <v>277</v>
      </c>
      <c r="D58" s="76" t="s">
        <v>89</v>
      </c>
      <c r="E58" s="76" t="s">
        <v>278</v>
      </c>
      <c r="F58" s="76" t="s">
        <v>91</v>
      </c>
      <c r="G58" s="76" t="s">
        <v>92</v>
      </c>
      <c r="H58" s="76" t="s">
        <v>94</v>
      </c>
      <c r="I58" s="76" t="s">
        <v>279</v>
      </c>
      <c r="J58" s="76" t="s">
        <v>280</v>
      </c>
      <c r="K58" s="30" t="s">
        <v>281</v>
      </c>
      <c r="L58" s="76" t="s">
        <v>283</v>
      </c>
      <c r="M58" s="76" t="s">
        <v>284</v>
      </c>
      <c r="N58" s="76" t="s">
        <v>285</v>
      </c>
      <c r="O58" s="76" t="s">
        <v>286</v>
      </c>
      <c r="P58" s="76" t="s">
        <v>98</v>
      </c>
    </row>
    <row r="59" spans="1:16" ht="29.4" thickBot="1" x14ac:dyDescent="0.35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31" t="s">
        <v>282</v>
      </c>
      <c r="L59" s="77"/>
      <c r="M59" s="77"/>
      <c r="N59" s="77"/>
      <c r="O59" s="77"/>
      <c r="P59" s="77"/>
    </row>
    <row r="60" spans="1:16" ht="15" thickBot="1" x14ac:dyDescent="0.35">
      <c r="A60" s="29">
        <v>1</v>
      </c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</row>
    <row r="61" spans="1:16" ht="15" thickBot="1" x14ac:dyDescent="0.35">
      <c r="A61" s="29">
        <v>2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</row>
    <row r="62" spans="1:16" ht="15" thickBot="1" x14ac:dyDescent="0.35">
      <c r="A62" s="29">
        <v>3</v>
      </c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</row>
    <row r="63" spans="1:16" ht="15" thickBot="1" x14ac:dyDescent="0.35">
      <c r="A63" s="29">
        <v>4</v>
      </c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</row>
    <row r="64" spans="1:16" ht="15" thickBot="1" x14ac:dyDescent="0.35">
      <c r="A64" s="29">
        <v>5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</row>
    <row r="65" spans="1:16" ht="15" thickBot="1" x14ac:dyDescent="0.35">
      <c r="A65" s="27" t="s">
        <v>238</v>
      </c>
    </row>
    <row r="66" spans="1:16" ht="59.25" customHeight="1" x14ac:dyDescent="0.3">
      <c r="A66" s="76" t="s">
        <v>88</v>
      </c>
      <c r="B66" s="76" t="s">
        <v>276</v>
      </c>
      <c r="C66" s="76" t="s">
        <v>277</v>
      </c>
      <c r="D66" s="76" t="s">
        <v>89</v>
      </c>
      <c r="E66" s="76" t="s">
        <v>278</v>
      </c>
      <c r="F66" s="76" t="s">
        <v>91</v>
      </c>
      <c r="G66" s="76" t="s">
        <v>92</v>
      </c>
      <c r="H66" s="76" t="s">
        <v>94</v>
      </c>
      <c r="I66" s="76" t="s">
        <v>279</v>
      </c>
      <c r="J66" s="76" t="s">
        <v>280</v>
      </c>
      <c r="K66" s="30" t="s">
        <v>281</v>
      </c>
      <c r="L66" s="76" t="s">
        <v>283</v>
      </c>
      <c r="M66" s="76" t="s">
        <v>284</v>
      </c>
      <c r="N66" s="76" t="s">
        <v>285</v>
      </c>
      <c r="O66" s="76" t="s">
        <v>286</v>
      </c>
      <c r="P66" s="76" t="s">
        <v>98</v>
      </c>
    </row>
    <row r="67" spans="1:16" ht="29.4" thickBot="1" x14ac:dyDescent="0.35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31" t="s">
        <v>282</v>
      </c>
      <c r="L67" s="77"/>
      <c r="M67" s="77"/>
      <c r="N67" s="77"/>
      <c r="O67" s="77"/>
      <c r="P67" s="77"/>
    </row>
    <row r="68" spans="1:16" ht="15" thickBot="1" x14ac:dyDescent="0.35">
      <c r="A68" s="29">
        <v>1</v>
      </c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</row>
    <row r="69" spans="1:16" ht="15" thickBot="1" x14ac:dyDescent="0.35">
      <c r="A69" s="29">
        <v>2</v>
      </c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</row>
    <row r="70" spans="1:16" ht="15" thickBot="1" x14ac:dyDescent="0.35">
      <c r="A70" s="29">
        <v>3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</row>
    <row r="71" spans="1:16" ht="15" thickBot="1" x14ac:dyDescent="0.35">
      <c r="A71" s="29">
        <v>4</v>
      </c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</row>
    <row r="72" spans="1:16" ht="15" thickBot="1" x14ac:dyDescent="0.35">
      <c r="A72" s="29">
        <v>5</v>
      </c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</row>
    <row r="73" spans="1:16" ht="15" thickBot="1" x14ac:dyDescent="0.35">
      <c r="A73" s="27" t="s">
        <v>239</v>
      </c>
    </row>
    <row r="74" spans="1:16" ht="59.25" customHeight="1" x14ac:dyDescent="0.3">
      <c r="A74" s="76" t="s">
        <v>88</v>
      </c>
      <c r="B74" s="76" t="s">
        <v>276</v>
      </c>
      <c r="C74" s="76" t="s">
        <v>277</v>
      </c>
      <c r="D74" s="76" t="s">
        <v>89</v>
      </c>
      <c r="E74" s="76" t="s">
        <v>278</v>
      </c>
      <c r="F74" s="76" t="s">
        <v>91</v>
      </c>
      <c r="G74" s="76" t="s">
        <v>92</v>
      </c>
      <c r="H74" s="76" t="s">
        <v>94</v>
      </c>
      <c r="I74" s="76" t="s">
        <v>279</v>
      </c>
      <c r="J74" s="76" t="s">
        <v>280</v>
      </c>
      <c r="K74" s="30" t="s">
        <v>281</v>
      </c>
      <c r="L74" s="76" t="s">
        <v>283</v>
      </c>
      <c r="M74" s="76" t="s">
        <v>284</v>
      </c>
      <c r="N74" s="76" t="s">
        <v>285</v>
      </c>
      <c r="O74" s="76" t="s">
        <v>286</v>
      </c>
      <c r="P74" s="76" t="s">
        <v>98</v>
      </c>
    </row>
    <row r="75" spans="1:16" ht="29.4" thickBot="1" x14ac:dyDescent="0.35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31" t="s">
        <v>282</v>
      </c>
      <c r="L75" s="77"/>
      <c r="M75" s="77"/>
      <c r="N75" s="77"/>
      <c r="O75" s="77"/>
      <c r="P75" s="77"/>
    </row>
    <row r="76" spans="1:16" ht="15" thickBot="1" x14ac:dyDescent="0.35">
      <c r="A76" s="29">
        <v>1</v>
      </c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</row>
    <row r="77" spans="1:16" ht="15" thickBot="1" x14ac:dyDescent="0.35">
      <c r="A77" s="29">
        <v>2</v>
      </c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</row>
    <row r="78" spans="1:16" ht="15" thickBot="1" x14ac:dyDescent="0.35">
      <c r="A78" s="29">
        <v>3</v>
      </c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</row>
    <row r="79" spans="1:16" ht="15" thickBot="1" x14ac:dyDescent="0.35">
      <c r="A79" s="29">
        <v>4</v>
      </c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</row>
    <row r="80" spans="1:16" ht="15" thickBot="1" x14ac:dyDescent="0.35">
      <c r="A80" s="29">
        <v>5</v>
      </c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</row>
    <row r="81" spans="1:16" ht="15" thickBot="1" x14ac:dyDescent="0.35">
      <c r="A81" s="27" t="s">
        <v>241</v>
      </c>
    </row>
    <row r="82" spans="1:16" ht="59.25" customHeight="1" x14ac:dyDescent="0.3">
      <c r="A82" s="76" t="s">
        <v>88</v>
      </c>
      <c r="B82" s="76" t="s">
        <v>276</v>
      </c>
      <c r="C82" s="76" t="s">
        <v>277</v>
      </c>
      <c r="D82" s="76" t="s">
        <v>89</v>
      </c>
      <c r="E82" s="76" t="s">
        <v>278</v>
      </c>
      <c r="F82" s="76" t="s">
        <v>91</v>
      </c>
      <c r="G82" s="76" t="s">
        <v>92</v>
      </c>
      <c r="H82" s="76" t="s">
        <v>94</v>
      </c>
      <c r="I82" s="76" t="s">
        <v>279</v>
      </c>
      <c r="J82" s="76" t="s">
        <v>280</v>
      </c>
      <c r="K82" s="30" t="s">
        <v>281</v>
      </c>
      <c r="L82" s="76" t="s">
        <v>283</v>
      </c>
      <c r="M82" s="76" t="s">
        <v>284</v>
      </c>
      <c r="N82" s="76" t="s">
        <v>285</v>
      </c>
      <c r="O82" s="76" t="s">
        <v>286</v>
      </c>
      <c r="P82" s="76" t="s">
        <v>98</v>
      </c>
    </row>
    <row r="83" spans="1:16" ht="29.4" thickBot="1" x14ac:dyDescent="0.35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31" t="s">
        <v>282</v>
      </c>
      <c r="L83" s="77"/>
      <c r="M83" s="77"/>
      <c r="N83" s="77"/>
      <c r="O83" s="77"/>
      <c r="P83" s="77"/>
    </row>
    <row r="84" spans="1:16" ht="15" thickBot="1" x14ac:dyDescent="0.35">
      <c r="A84" s="29">
        <v>1</v>
      </c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</row>
    <row r="85" spans="1:16" ht="15" thickBot="1" x14ac:dyDescent="0.35">
      <c r="A85" s="29">
        <v>2</v>
      </c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</row>
    <row r="86" spans="1:16" ht="15" thickBot="1" x14ac:dyDescent="0.35">
      <c r="A86" s="29">
        <v>3</v>
      </c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</row>
    <row r="87" spans="1:16" ht="15" thickBot="1" x14ac:dyDescent="0.35">
      <c r="A87" s="29">
        <v>4</v>
      </c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</row>
    <row r="88" spans="1:16" ht="15" thickBot="1" x14ac:dyDescent="0.35">
      <c r="A88" s="29">
        <v>5</v>
      </c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</row>
    <row r="89" spans="1:16" ht="15" thickBot="1" x14ac:dyDescent="0.35">
      <c r="A89" s="27" t="s">
        <v>243</v>
      </c>
    </row>
    <row r="90" spans="1:16" ht="59.25" customHeight="1" x14ac:dyDescent="0.3">
      <c r="A90" s="76" t="s">
        <v>88</v>
      </c>
      <c r="B90" s="76" t="s">
        <v>276</v>
      </c>
      <c r="C90" s="76" t="s">
        <v>277</v>
      </c>
      <c r="D90" s="76" t="s">
        <v>89</v>
      </c>
      <c r="E90" s="76" t="s">
        <v>278</v>
      </c>
      <c r="F90" s="76" t="s">
        <v>91</v>
      </c>
      <c r="G90" s="76" t="s">
        <v>92</v>
      </c>
      <c r="H90" s="76" t="s">
        <v>94</v>
      </c>
      <c r="I90" s="76" t="s">
        <v>279</v>
      </c>
      <c r="J90" s="76" t="s">
        <v>280</v>
      </c>
      <c r="K90" s="30" t="s">
        <v>281</v>
      </c>
      <c r="L90" s="76" t="s">
        <v>283</v>
      </c>
      <c r="M90" s="76" t="s">
        <v>284</v>
      </c>
      <c r="N90" s="76" t="s">
        <v>285</v>
      </c>
      <c r="O90" s="76" t="s">
        <v>286</v>
      </c>
      <c r="P90" s="76" t="s">
        <v>98</v>
      </c>
    </row>
    <row r="91" spans="1:16" ht="29.4" thickBot="1" x14ac:dyDescent="0.35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31" t="s">
        <v>282</v>
      </c>
      <c r="L91" s="77"/>
      <c r="M91" s="77"/>
      <c r="N91" s="77"/>
      <c r="O91" s="77"/>
      <c r="P91" s="77"/>
    </row>
    <row r="92" spans="1:16" ht="15" thickBot="1" x14ac:dyDescent="0.35">
      <c r="A92" s="29">
        <v>1</v>
      </c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</row>
    <row r="93" spans="1:16" ht="15" thickBot="1" x14ac:dyDescent="0.35">
      <c r="A93" s="29">
        <v>2</v>
      </c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</row>
    <row r="94" spans="1:16" ht="15" thickBot="1" x14ac:dyDescent="0.35">
      <c r="A94" s="29">
        <v>3</v>
      </c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</row>
    <row r="95" spans="1:16" ht="15" thickBot="1" x14ac:dyDescent="0.35">
      <c r="A95" s="29">
        <v>4</v>
      </c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</row>
    <row r="96" spans="1:16" ht="15" thickBot="1" x14ac:dyDescent="0.35">
      <c r="A96" s="29">
        <v>5</v>
      </c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</row>
    <row r="97" spans="1:16" ht="15" thickBot="1" x14ac:dyDescent="0.35">
      <c r="A97" s="27" t="s">
        <v>245</v>
      </c>
    </row>
    <row r="98" spans="1:16" ht="59.25" customHeight="1" x14ac:dyDescent="0.3">
      <c r="A98" s="76" t="s">
        <v>88</v>
      </c>
      <c r="B98" s="76" t="s">
        <v>276</v>
      </c>
      <c r="C98" s="76" t="s">
        <v>277</v>
      </c>
      <c r="D98" s="76" t="s">
        <v>89</v>
      </c>
      <c r="E98" s="76" t="s">
        <v>278</v>
      </c>
      <c r="F98" s="76" t="s">
        <v>91</v>
      </c>
      <c r="G98" s="76" t="s">
        <v>92</v>
      </c>
      <c r="H98" s="76" t="s">
        <v>94</v>
      </c>
      <c r="I98" s="76" t="s">
        <v>279</v>
      </c>
      <c r="J98" s="76" t="s">
        <v>280</v>
      </c>
      <c r="K98" s="30" t="s">
        <v>281</v>
      </c>
      <c r="L98" s="76" t="s">
        <v>283</v>
      </c>
      <c r="M98" s="76" t="s">
        <v>284</v>
      </c>
      <c r="N98" s="76" t="s">
        <v>285</v>
      </c>
      <c r="O98" s="76" t="s">
        <v>286</v>
      </c>
      <c r="P98" s="76" t="s">
        <v>98</v>
      </c>
    </row>
    <row r="99" spans="1:16" ht="29.4" thickBot="1" x14ac:dyDescent="0.35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31" t="s">
        <v>282</v>
      </c>
      <c r="L99" s="77"/>
      <c r="M99" s="77"/>
      <c r="N99" s="77"/>
      <c r="O99" s="77"/>
      <c r="P99" s="77"/>
    </row>
    <row r="100" spans="1:16" ht="87" thickBot="1" x14ac:dyDescent="0.35">
      <c r="A100" s="29">
        <v>1</v>
      </c>
      <c r="B100" s="29" t="s">
        <v>287</v>
      </c>
      <c r="C100" s="48" t="s">
        <v>288</v>
      </c>
      <c r="D100" s="29" t="s">
        <v>289</v>
      </c>
      <c r="E100" s="29"/>
      <c r="F100" s="29"/>
      <c r="G100" s="29" t="s">
        <v>290</v>
      </c>
      <c r="H100" s="29" t="s">
        <v>291</v>
      </c>
      <c r="I100" s="29" t="s">
        <v>253</v>
      </c>
      <c r="J100" s="29" t="s">
        <v>292</v>
      </c>
      <c r="K100" s="29" t="s">
        <v>233</v>
      </c>
      <c r="L100" s="29" t="s">
        <v>233</v>
      </c>
      <c r="M100" s="29" t="s">
        <v>233</v>
      </c>
      <c r="N100" s="29" t="s">
        <v>233</v>
      </c>
      <c r="O100" s="29" t="s">
        <v>233</v>
      </c>
      <c r="P100" s="29"/>
    </row>
  </sheetData>
  <mergeCells count="195">
    <mergeCell ref="A98:A99"/>
    <mergeCell ref="B98:B99"/>
    <mergeCell ref="C98:C99"/>
    <mergeCell ref="D98:D99"/>
    <mergeCell ref="E98:E99"/>
    <mergeCell ref="P90:P91"/>
    <mergeCell ref="F90:F91"/>
    <mergeCell ref="G90:G91"/>
    <mergeCell ref="H90:H91"/>
    <mergeCell ref="I90:I91"/>
    <mergeCell ref="J90:J91"/>
    <mergeCell ref="N98:N99"/>
    <mergeCell ref="O98:O99"/>
    <mergeCell ref="P98:P99"/>
    <mergeCell ref="F98:F99"/>
    <mergeCell ref="G98:G99"/>
    <mergeCell ref="H98:H99"/>
    <mergeCell ref="I98:I99"/>
    <mergeCell ref="J98:J99"/>
    <mergeCell ref="L98:L99"/>
    <mergeCell ref="M98:M99"/>
    <mergeCell ref="A90:A91"/>
    <mergeCell ref="B90:B91"/>
    <mergeCell ref="C90:C91"/>
    <mergeCell ref="D90:D91"/>
    <mergeCell ref="E90:E91"/>
    <mergeCell ref="L82:L83"/>
    <mergeCell ref="M82:M83"/>
    <mergeCell ref="N82:N83"/>
    <mergeCell ref="O82:O83"/>
    <mergeCell ref="L90:L91"/>
    <mergeCell ref="M90:M91"/>
    <mergeCell ref="N90:N91"/>
    <mergeCell ref="O90:O91"/>
    <mergeCell ref="P82:P83"/>
    <mergeCell ref="F82:F83"/>
    <mergeCell ref="G82:G83"/>
    <mergeCell ref="H82:H83"/>
    <mergeCell ref="I82:I83"/>
    <mergeCell ref="J82:J83"/>
    <mergeCell ref="A82:A83"/>
    <mergeCell ref="B82:B83"/>
    <mergeCell ref="C82:C83"/>
    <mergeCell ref="D82:D83"/>
    <mergeCell ref="E82:E83"/>
    <mergeCell ref="L74:L75"/>
    <mergeCell ref="M74:M75"/>
    <mergeCell ref="N74:N75"/>
    <mergeCell ref="O74:O75"/>
    <mergeCell ref="P74:P75"/>
    <mergeCell ref="F74:F75"/>
    <mergeCell ref="G74:G75"/>
    <mergeCell ref="H74:H75"/>
    <mergeCell ref="I74:I75"/>
    <mergeCell ref="J74:J75"/>
    <mergeCell ref="A66:A67"/>
    <mergeCell ref="B66:B67"/>
    <mergeCell ref="C66:C67"/>
    <mergeCell ref="D66:D67"/>
    <mergeCell ref="E66:E67"/>
    <mergeCell ref="A74:A75"/>
    <mergeCell ref="B74:B75"/>
    <mergeCell ref="C74:C75"/>
    <mergeCell ref="D74:D75"/>
    <mergeCell ref="E74:E75"/>
    <mergeCell ref="P58:P59"/>
    <mergeCell ref="F58:F59"/>
    <mergeCell ref="G58:G59"/>
    <mergeCell ref="H58:H59"/>
    <mergeCell ref="I58:I59"/>
    <mergeCell ref="J58:J59"/>
    <mergeCell ref="P66:P67"/>
    <mergeCell ref="F66:F67"/>
    <mergeCell ref="G66:G67"/>
    <mergeCell ref="H66:H67"/>
    <mergeCell ref="I66:I67"/>
    <mergeCell ref="J66:J67"/>
    <mergeCell ref="L66:L67"/>
    <mergeCell ref="M66:M67"/>
    <mergeCell ref="N66:N67"/>
    <mergeCell ref="O66:O67"/>
    <mergeCell ref="A58:A59"/>
    <mergeCell ref="B58:B59"/>
    <mergeCell ref="C58:C59"/>
    <mergeCell ref="D58:D59"/>
    <mergeCell ref="E58:E59"/>
    <mergeCell ref="L50:L51"/>
    <mergeCell ref="M50:M51"/>
    <mergeCell ref="N50:N51"/>
    <mergeCell ref="O50:O51"/>
    <mergeCell ref="L58:L59"/>
    <mergeCell ref="M58:M59"/>
    <mergeCell ref="N58:N59"/>
    <mergeCell ref="O58:O59"/>
    <mergeCell ref="P50:P51"/>
    <mergeCell ref="F50:F51"/>
    <mergeCell ref="G50:G51"/>
    <mergeCell ref="H50:H51"/>
    <mergeCell ref="I50:I51"/>
    <mergeCell ref="J50:J51"/>
    <mergeCell ref="A50:A51"/>
    <mergeCell ref="B50:B51"/>
    <mergeCell ref="C50:C51"/>
    <mergeCell ref="D50:D51"/>
    <mergeCell ref="E50:E51"/>
    <mergeCell ref="L42:L43"/>
    <mergeCell ref="M42:M43"/>
    <mergeCell ref="N42:N43"/>
    <mergeCell ref="O42:O43"/>
    <mergeCell ref="P42:P43"/>
    <mergeCell ref="F42:F43"/>
    <mergeCell ref="G42:G43"/>
    <mergeCell ref="H42:H43"/>
    <mergeCell ref="I42:I43"/>
    <mergeCell ref="J42:J43"/>
    <mergeCell ref="A34:A35"/>
    <mergeCell ref="B34:B35"/>
    <mergeCell ref="C34:C35"/>
    <mergeCell ref="D34:D35"/>
    <mergeCell ref="E34:E35"/>
    <mergeCell ref="A42:A43"/>
    <mergeCell ref="B42:B43"/>
    <mergeCell ref="C42:C43"/>
    <mergeCell ref="D42:D43"/>
    <mergeCell ref="E42:E43"/>
    <mergeCell ref="P26:P27"/>
    <mergeCell ref="F26:F27"/>
    <mergeCell ref="G26:G27"/>
    <mergeCell ref="H26:H27"/>
    <mergeCell ref="I26:I27"/>
    <mergeCell ref="J26:J27"/>
    <mergeCell ref="P34:P35"/>
    <mergeCell ref="F34:F35"/>
    <mergeCell ref="G34:G35"/>
    <mergeCell ref="H34:H35"/>
    <mergeCell ref="I34:I35"/>
    <mergeCell ref="J34:J35"/>
    <mergeCell ref="L34:L35"/>
    <mergeCell ref="M34:M35"/>
    <mergeCell ref="N34:N35"/>
    <mergeCell ref="O34:O35"/>
    <mergeCell ref="A26:A27"/>
    <mergeCell ref="B26:B27"/>
    <mergeCell ref="C26:C27"/>
    <mergeCell ref="D26:D27"/>
    <mergeCell ref="E26:E27"/>
    <mergeCell ref="L18:L19"/>
    <mergeCell ref="M18:M19"/>
    <mergeCell ref="N18:N19"/>
    <mergeCell ref="O18:O19"/>
    <mergeCell ref="L26:L27"/>
    <mergeCell ref="M26:M27"/>
    <mergeCell ref="N26:N27"/>
    <mergeCell ref="O26:O27"/>
    <mergeCell ref="P18:P19"/>
    <mergeCell ref="F18:F19"/>
    <mergeCell ref="G18:G19"/>
    <mergeCell ref="H18:H19"/>
    <mergeCell ref="I18:I19"/>
    <mergeCell ref="J18:J19"/>
    <mergeCell ref="A18:A19"/>
    <mergeCell ref="B18:B19"/>
    <mergeCell ref="C18:C19"/>
    <mergeCell ref="D18:D19"/>
    <mergeCell ref="E18:E19"/>
    <mergeCell ref="G10:G11"/>
    <mergeCell ref="H10:H11"/>
    <mergeCell ref="I10:I11"/>
    <mergeCell ref="J10:J11"/>
    <mergeCell ref="L2:L3"/>
    <mergeCell ref="G2:G3"/>
    <mergeCell ref="H2:H3"/>
    <mergeCell ref="I2:I3"/>
    <mergeCell ref="J2:J3"/>
    <mergeCell ref="M2:M3"/>
    <mergeCell ref="N2:N3"/>
    <mergeCell ref="O2:O3"/>
    <mergeCell ref="P2:P3"/>
    <mergeCell ref="L10:L11"/>
    <mergeCell ref="M10:M11"/>
    <mergeCell ref="N10:N11"/>
    <mergeCell ref="O10:O11"/>
    <mergeCell ref="P10:P11"/>
    <mergeCell ref="A2:A3"/>
    <mergeCell ref="B2:B3"/>
    <mergeCell ref="C2:C3"/>
    <mergeCell ref="D2:D3"/>
    <mergeCell ref="E2:E3"/>
    <mergeCell ref="F2:F3"/>
    <mergeCell ref="A10:A11"/>
    <mergeCell ref="B10:B11"/>
    <mergeCell ref="C10:C11"/>
    <mergeCell ref="D10:D11"/>
    <mergeCell ref="E10:E11"/>
    <mergeCell ref="F10:F11"/>
  </mergeCells>
  <hyperlinks>
    <hyperlink ref="C100" r:id="rId1" tooltip="https://dev.azure.com/realeitesorg/it.grma.agenzie/_workitems/edit/274810" display="https://dev.azure.com/realeitesorg/it.grma.agenzie/_workitems/edit/274810" xr:uid="{A7D494D7-9E2E-43F2-8C2F-15AFACBDF6B2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5F2F4-5892-4C5E-9C0A-71660496A8CA}">
  <sheetPr codeName="Foglio10">
    <tabColor theme="0"/>
  </sheetPr>
  <dimension ref="A1:F96"/>
  <sheetViews>
    <sheetView topLeftCell="A61" workbookViewId="0">
      <selection sqref="A1:F65"/>
    </sheetView>
  </sheetViews>
  <sheetFormatPr defaultRowHeight="14.4" x14ac:dyDescent="0.3"/>
  <cols>
    <col min="4" max="4" width="19.21875" customWidth="1"/>
  </cols>
  <sheetData>
    <row r="1" spans="1:6" ht="15" thickBot="1" x14ac:dyDescent="0.35">
      <c r="A1" s="27" t="s">
        <v>223</v>
      </c>
    </row>
    <row r="2" spans="1:6" ht="72.599999999999994" thickBot="1" x14ac:dyDescent="0.35">
      <c r="A2" s="29" t="s">
        <v>88</v>
      </c>
      <c r="B2" s="29" t="s">
        <v>266</v>
      </c>
      <c r="C2" s="29" t="s">
        <v>267</v>
      </c>
      <c r="D2" s="29" t="s">
        <v>268</v>
      </c>
      <c r="E2" s="29" t="s">
        <v>269</v>
      </c>
      <c r="F2" s="29" t="s">
        <v>98</v>
      </c>
    </row>
    <row r="3" spans="1:6" ht="15" thickBot="1" x14ac:dyDescent="0.35">
      <c r="A3" s="29">
        <v>1</v>
      </c>
      <c r="B3" s="29"/>
      <c r="C3" s="29"/>
      <c r="D3" s="29"/>
      <c r="E3" s="29"/>
      <c r="F3" s="29"/>
    </row>
    <row r="4" spans="1:6" ht="15" thickBot="1" x14ac:dyDescent="0.35">
      <c r="A4" s="29">
        <v>2</v>
      </c>
      <c r="B4" s="29"/>
      <c r="C4" s="29"/>
      <c r="D4" s="29"/>
      <c r="E4" s="29"/>
      <c r="F4" s="29"/>
    </row>
    <row r="5" spans="1:6" ht="15" thickBot="1" x14ac:dyDescent="0.35">
      <c r="A5" s="29">
        <v>3</v>
      </c>
      <c r="B5" s="29"/>
      <c r="C5" s="29"/>
      <c r="D5" s="29"/>
      <c r="E5" s="29"/>
      <c r="F5" s="29"/>
    </row>
    <row r="6" spans="1:6" ht="15" thickBot="1" x14ac:dyDescent="0.35">
      <c r="A6" s="27" t="s">
        <v>225</v>
      </c>
    </row>
    <row r="7" spans="1:6" ht="72.599999999999994" thickBot="1" x14ac:dyDescent="0.35">
      <c r="A7" s="29" t="s">
        <v>88</v>
      </c>
      <c r="B7" s="29" t="s">
        <v>266</v>
      </c>
      <c r="C7" s="29" t="s">
        <v>267</v>
      </c>
      <c r="D7" s="29" t="s">
        <v>268</v>
      </c>
      <c r="E7" s="29" t="s">
        <v>269</v>
      </c>
      <c r="F7" s="29" t="s">
        <v>98</v>
      </c>
    </row>
    <row r="8" spans="1:6" ht="15" thickBot="1" x14ac:dyDescent="0.35">
      <c r="A8" s="29">
        <v>1</v>
      </c>
      <c r="B8" s="29"/>
      <c r="C8" s="29"/>
      <c r="D8" s="29"/>
      <c r="E8" s="29"/>
      <c r="F8" s="29"/>
    </row>
    <row r="9" spans="1:6" ht="15" thickBot="1" x14ac:dyDescent="0.35">
      <c r="A9" s="29">
        <v>2</v>
      </c>
      <c r="B9" s="29"/>
      <c r="C9" s="29"/>
      <c r="D9" s="29"/>
      <c r="E9" s="29"/>
      <c r="F9" s="29"/>
    </row>
    <row r="10" spans="1:6" ht="15" thickBot="1" x14ac:dyDescent="0.35">
      <c r="A10" s="29">
        <v>3</v>
      </c>
      <c r="B10" s="29"/>
      <c r="C10" s="29"/>
      <c r="D10" s="29"/>
      <c r="E10" s="29"/>
      <c r="F10" s="29"/>
    </row>
    <row r="11" spans="1:6" ht="15" thickBot="1" x14ac:dyDescent="0.35">
      <c r="A11" s="27" t="s">
        <v>227</v>
      </c>
    </row>
    <row r="12" spans="1:6" ht="72.599999999999994" thickBot="1" x14ac:dyDescent="0.35">
      <c r="A12" s="29" t="s">
        <v>88</v>
      </c>
      <c r="B12" s="29" t="s">
        <v>266</v>
      </c>
      <c r="C12" s="29" t="s">
        <v>267</v>
      </c>
      <c r="D12" s="29" t="s">
        <v>268</v>
      </c>
      <c r="E12" s="29" t="s">
        <v>269</v>
      </c>
      <c r="F12" s="29" t="s">
        <v>98</v>
      </c>
    </row>
    <row r="13" spans="1:6" ht="15" thickBot="1" x14ac:dyDescent="0.35">
      <c r="A13" s="29">
        <v>1</v>
      </c>
      <c r="B13" s="29"/>
      <c r="C13" s="29"/>
      <c r="D13" s="29"/>
      <c r="E13" s="29"/>
      <c r="F13" s="29"/>
    </row>
    <row r="14" spans="1:6" ht="15" thickBot="1" x14ac:dyDescent="0.35">
      <c r="A14" s="29">
        <v>2</v>
      </c>
      <c r="B14" s="29"/>
      <c r="C14" s="29"/>
      <c r="D14" s="29"/>
      <c r="E14" s="29"/>
      <c r="F14" s="29"/>
    </row>
    <row r="15" spans="1:6" ht="15" thickBot="1" x14ac:dyDescent="0.35">
      <c r="A15" s="29">
        <v>3</v>
      </c>
      <c r="B15" s="29"/>
      <c r="C15" s="29"/>
      <c r="D15" s="29"/>
      <c r="E15" s="29"/>
      <c r="F15" s="29"/>
    </row>
    <row r="16" spans="1:6" ht="15" thickBot="1" x14ac:dyDescent="0.35">
      <c r="A16" s="27" t="s">
        <v>229</v>
      </c>
    </row>
    <row r="17" spans="1:6" ht="72.599999999999994" thickBot="1" x14ac:dyDescent="0.35">
      <c r="A17" s="29" t="s">
        <v>88</v>
      </c>
      <c r="B17" s="29" t="s">
        <v>266</v>
      </c>
      <c r="C17" s="29" t="s">
        <v>267</v>
      </c>
      <c r="D17" s="29" t="s">
        <v>268</v>
      </c>
      <c r="E17" s="29" t="s">
        <v>269</v>
      </c>
      <c r="F17" s="29" t="s">
        <v>98</v>
      </c>
    </row>
    <row r="18" spans="1:6" ht="15" thickBot="1" x14ac:dyDescent="0.35">
      <c r="A18" s="29">
        <v>1</v>
      </c>
      <c r="B18" s="29"/>
      <c r="C18" s="29"/>
      <c r="D18" s="29"/>
      <c r="E18" s="29"/>
      <c r="F18" s="29"/>
    </row>
    <row r="19" spans="1:6" ht="15" thickBot="1" x14ac:dyDescent="0.35">
      <c r="A19" s="29">
        <v>2</v>
      </c>
      <c r="B19" s="29"/>
      <c r="C19" s="29"/>
      <c r="D19" s="29"/>
      <c r="E19" s="29"/>
      <c r="F19" s="29"/>
    </row>
    <row r="20" spans="1:6" ht="15" thickBot="1" x14ac:dyDescent="0.35">
      <c r="A20" s="29">
        <v>3</v>
      </c>
      <c r="B20" s="29"/>
      <c r="C20" s="29"/>
      <c r="D20" s="29"/>
      <c r="E20" s="29"/>
      <c r="F20" s="29"/>
    </row>
    <row r="21" spans="1:6" ht="15" thickBot="1" x14ac:dyDescent="0.35">
      <c r="A21" s="27" t="s">
        <v>231</v>
      </c>
    </row>
    <row r="22" spans="1:6" ht="72.599999999999994" thickBot="1" x14ac:dyDescent="0.35">
      <c r="A22" s="29" t="s">
        <v>88</v>
      </c>
      <c r="B22" s="29" t="s">
        <v>266</v>
      </c>
      <c r="C22" s="29" t="s">
        <v>267</v>
      </c>
      <c r="D22" s="29" t="s">
        <v>268</v>
      </c>
      <c r="E22" s="29" t="s">
        <v>269</v>
      </c>
      <c r="F22" s="29" t="s">
        <v>98</v>
      </c>
    </row>
    <row r="23" spans="1:6" ht="15" thickBot="1" x14ac:dyDescent="0.35">
      <c r="A23" s="29">
        <v>1</v>
      </c>
      <c r="B23" s="29"/>
      <c r="C23" s="29"/>
      <c r="D23" s="29"/>
      <c r="E23" s="29"/>
      <c r="F23" s="29"/>
    </row>
    <row r="24" spans="1:6" ht="15" thickBot="1" x14ac:dyDescent="0.35">
      <c r="A24" s="29">
        <v>2</v>
      </c>
      <c r="B24" s="29"/>
      <c r="C24" s="29"/>
      <c r="D24" s="29"/>
      <c r="E24" s="29"/>
      <c r="F24" s="29"/>
    </row>
    <row r="25" spans="1:6" ht="15" thickBot="1" x14ac:dyDescent="0.35">
      <c r="A25" s="29">
        <v>3</v>
      </c>
      <c r="B25" s="29"/>
      <c r="C25" s="29"/>
      <c r="D25" s="29"/>
      <c r="E25" s="29"/>
      <c r="F25" s="29"/>
    </row>
    <row r="26" spans="1:6" ht="15" thickBot="1" x14ac:dyDescent="0.35">
      <c r="A26" s="27" t="s">
        <v>232</v>
      </c>
    </row>
    <row r="27" spans="1:6" ht="72.599999999999994" thickBot="1" x14ac:dyDescent="0.35">
      <c r="A27" s="29" t="s">
        <v>88</v>
      </c>
      <c r="B27" s="29" t="s">
        <v>266</v>
      </c>
      <c r="C27" s="29" t="s">
        <v>267</v>
      </c>
      <c r="D27" s="29" t="s">
        <v>268</v>
      </c>
      <c r="E27" s="29" t="s">
        <v>269</v>
      </c>
      <c r="F27" s="29" t="s">
        <v>98</v>
      </c>
    </row>
    <row r="28" spans="1:6" ht="15" thickBot="1" x14ac:dyDescent="0.35">
      <c r="A28" s="29">
        <v>1</v>
      </c>
      <c r="B28" s="29"/>
      <c r="C28" s="29"/>
      <c r="D28" s="29"/>
      <c r="E28" s="29"/>
      <c r="F28" s="29"/>
    </row>
    <row r="29" spans="1:6" ht="15" thickBot="1" x14ac:dyDescent="0.35">
      <c r="A29" s="29">
        <v>2</v>
      </c>
      <c r="B29" s="29"/>
      <c r="C29" s="29"/>
      <c r="D29" s="29"/>
      <c r="E29" s="29"/>
      <c r="F29" s="29"/>
    </row>
    <row r="30" spans="1:6" ht="15" thickBot="1" x14ac:dyDescent="0.35">
      <c r="A30" s="29">
        <v>3</v>
      </c>
      <c r="B30" s="29"/>
      <c r="C30" s="29"/>
      <c r="D30" s="29"/>
      <c r="E30" s="29"/>
      <c r="F30" s="29"/>
    </row>
    <row r="31" spans="1:6" ht="15" thickBot="1" x14ac:dyDescent="0.35">
      <c r="A31" s="27" t="s">
        <v>234</v>
      </c>
    </row>
    <row r="32" spans="1:6" ht="72.599999999999994" thickBot="1" x14ac:dyDescent="0.35">
      <c r="A32" s="29" t="s">
        <v>88</v>
      </c>
      <c r="B32" s="29" t="s">
        <v>266</v>
      </c>
      <c r="C32" s="29" t="s">
        <v>267</v>
      </c>
      <c r="D32" s="29" t="s">
        <v>268</v>
      </c>
      <c r="E32" s="29" t="s">
        <v>269</v>
      </c>
      <c r="F32" s="29" t="s">
        <v>98</v>
      </c>
    </row>
    <row r="33" spans="1:6" ht="15" thickBot="1" x14ac:dyDescent="0.35">
      <c r="A33" s="29">
        <v>1</v>
      </c>
      <c r="B33" s="29"/>
      <c r="C33" s="29"/>
      <c r="D33" s="29"/>
      <c r="E33" s="29"/>
      <c r="F33" s="29"/>
    </row>
    <row r="34" spans="1:6" ht="15" thickBot="1" x14ac:dyDescent="0.35">
      <c r="A34" s="29">
        <v>2</v>
      </c>
      <c r="B34" s="29"/>
      <c r="C34" s="29"/>
      <c r="D34" s="29"/>
      <c r="E34" s="29"/>
      <c r="F34" s="29"/>
    </row>
    <row r="35" spans="1:6" ht="15" thickBot="1" x14ac:dyDescent="0.35">
      <c r="A35" s="29">
        <v>3</v>
      </c>
      <c r="B35" s="29"/>
      <c r="C35" s="29"/>
      <c r="D35" s="29"/>
      <c r="E35" s="29"/>
      <c r="F35" s="29"/>
    </row>
    <row r="36" spans="1:6" ht="15" thickBot="1" x14ac:dyDescent="0.35">
      <c r="A36" s="27" t="s">
        <v>236</v>
      </c>
    </row>
    <row r="37" spans="1:6" ht="72.599999999999994" thickBot="1" x14ac:dyDescent="0.35">
      <c r="A37" s="29" t="s">
        <v>88</v>
      </c>
      <c r="B37" s="29" t="s">
        <v>266</v>
      </c>
      <c r="C37" s="29" t="s">
        <v>267</v>
      </c>
      <c r="D37" s="29" t="s">
        <v>268</v>
      </c>
      <c r="E37" s="29" t="s">
        <v>269</v>
      </c>
      <c r="F37" s="29" t="s">
        <v>98</v>
      </c>
    </row>
    <row r="38" spans="1:6" ht="15" thickBot="1" x14ac:dyDescent="0.35">
      <c r="A38" s="29">
        <v>1</v>
      </c>
      <c r="B38" s="29"/>
      <c r="C38" s="29"/>
      <c r="D38" s="29"/>
      <c r="E38" s="29"/>
      <c r="F38" s="29"/>
    </row>
    <row r="39" spans="1:6" ht="15" thickBot="1" x14ac:dyDescent="0.35">
      <c r="A39" s="29">
        <v>2</v>
      </c>
      <c r="B39" s="29"/>
      <c r="C39" s="29"/>
      <c r="D39" s="29"/>
      <c r="E39" s="29"/>
      <c r="F39" s="29"/>
    </row>
    <row r="40" spans="1:6" ht="15" thickBot="1" x14ac:dyDescent="0.35">
      <c r="A40" s="29">
        <v>3</v>
      </c>
      <c r="B40" s="29"/>
      <c r="C40" s="29"/>
      <c r="D40" s="29"/>
      <c r="E40" s="29"/>
      <c r="F40" s="29"/>
    </row>
    <row r="41" spans="1:6" ht="15" thickBot="1" x14ac:dyDescent="0.35">
      <c r="A41" s="27" t="s">
        <v>238</v>
      </c>
    </row>
    <row r="42" spans="1:6" ht="72.599999999999994" thickBot="1" x14ac:dyDescent="0.35">
      <c r="A42" s="29" t="s">
        <v>88</v>
      </c>
      <c r="B42" s="29" t="s">
        <v>266</v>
      </c>
      <c r="C42" s="29" t="s">
        <v>267</v>
      </c>
      <c r="D42" s="29" t="s">
        <v>268</v>
      </c>
      <c r="E42" s="29" t="s">
        <v>269</v>
      </c>
      <c r="F42" s="29" t="s">
        <v>98</v>
      </c>
    </row>
    <row r="43" spans="1:6" ht="15" thickBot="1" x14ac:dyDescent="0.35">
      <c r="A43" s="29">
        <v>1</v>
      </c>
      <c r="B43" s="29"/>
      <c r="C43" s="29"/>
      <c r="D43" s="29"/>
      <c r="E43" s="29"/>
      <c r="F43" s="29"/>
    </row>
    <row r="44" spans="1:6" ht="15" thickBot="1" x14ac:dyDescent="0.35">
      <c r="A44" s="29">
        <v>2</v>
      </c>
      <c r="B44" s="29"/>
      <c r="C44" s="29"/>
      <c r="D44" s="29"/>
      <c r="E44" s="29"/>
      <c r="F44" s="29"/>
    </row>
    <row r="45" spans="1:6" ht="15" thickBot="1" x14ac:dyDescent="0.35">
      <c r="A45" s="29">
        <v>3</v>
      </c>
      <c r="B45" s="29"/>
      <c r="C45" s="29"/>
      <c r="D45" s="29"/>
      <c r="E45" s="29"/>
      <c r="F45" s="29"/>
    </row>
    <row r="46" spans="1:6" ht="15" thickBot="1" x14ac:dyDescent="0.35">
      <c r="A46" s="27" t="s">
        <v>239</v>
      </c>
    </row>
    <row r="47" spans="1:6" ht="72.599999999999994" thickBot="1" x14ac:dyDescent="0.35">
      <c r="A47" s="29" t="s">
        <v>88</v>
      </c>
      <c r="B47" s="29" t="s">
        <v>266</v>
      </c>
      <c r="C47" s="29" t="s">
        <v>267</v>
      </c>
      <c r="D47" s="29" t="s">
        <v>268</v>
      </c>
      <c r="E47" s="29" t="s">
        <v>269</v>
      </c>
      <c r="F47" s="29" t="s">
        <v>98</v>
      </c>
    </row>
    <row r="48" spans="1:6" ht="15" thickBot="1" x14ac:dyDescent="0.35">
      <c r="A48" s="29">
        <v>1</v>
      </c>
      <c r="B48" s="29"/>
      <c r="C48" s="29"/>
      <c r="D48" s="29"/>
      <c r="E48" s="29"/>
      <c r="F48" s="29"/>
    </row>
    <row r="49" spans="1:6" ht="15" thickBot="1" x14ac:dyDescent="0.35">
      <c r="A49" s="29">
        <v>2</v>
      </c>
      <c r="B49" s="29"/>
      <c r="C49" s="29"/>
      <c r="D49" s="29"/>
      <c r="E49" s="29"/>
      <c r="F49" s="29"/>
    </row>
    <row r="50" spans="1:6" ht="15" thickBot="1" x14ac:dyDescent="0.35">
      <c r="A50" s="29">
        <v>3</v>
      </c>
      <c r="B50" s="29"/>
      <c r="C50" s="29"/>
      <c r="D50" s="29"/>
      <c r="E50" s="29"/>
      <c r="F50" s="29"/>
    </row>
    <row r="51" spans="1:6" ht="15" thickBot="1" x14ac:dyDescent="0.35">
      <c r="A51" s="27" t="s">
        <v>241</v>
      </c>
    </row>
    <row r="52" spans="1:6" ht="72.599999999999994" thickBot="1" x14ac:dyDescent="0.35">
      <c r="A52" s="29" t="s">
        <v>88</v>
      </c>
      <c r="B52" s="29" t="s">
        <v>266</v>
      </c>
      <c r="C52" s="29" t="s">
        <v>267</v>
      </c>
      <c r="D52" s="29" t="s">
        <v>268</v>
      </c>
      <c r="E52" s="29" t="s">
        <v>269</v>
      </c>
      <c r="F52" s="29" t="s">
        <v>98</v>
      </c>
    </row>
    <row r="53" spans="1:6" ht="15" thickBot="1" x14ac:dyDescent="0.35">
      <c r="A53" s="29">
        <v>1</v>
      </c>
      <c r="B53" s="29"/>
      <c r="C53" s="29"/>
      <c r="D53" s="29"/>
      <c r="E53" s="29"/>
      <c r="F53" s="29"/>
    </row>
    <row r="54" spans="1:6" ht="15" thickBot="1" x14ac:dyDescent="0.35">
      <c r="A54" s="29">
        <v>2</v>
      </c>
      <c r="B54" s="29"/>
      <c r="C54" s="29"/>
      <c r="D54" s="29"/>
      <c r="E54" s="29"/>
      <c r="F54" s="29"/>
    </row>
    <row r="55" spans="1:6" ht="15" thickBot="1" x14ac:dyDescent="0.35">
      <c r="A55" s="29">
        <v>3</v>
      </c>
      <c r="B55" s="29"/>
      <c r="C55" s="29"/>
      <c r="D55" s="29"/>
      <c r="E55" s="29"/>
      <c r="F55" s="29"/>
    </row>
    <row r="56" spans="1:6" ht="15" thickBot="1" x14ac:dyDescent="0.35">
      <c r="A56" s="27" t="s">
        <v>243</v>
      </c>
    </row>
    <row r="57" spans="1:6" ht="72.599999999999994" thickBot="1" x14ac:dyDescent="0.35">
      <c r="A57" s="29" t="s">
        <v>88</v>
      </c>
      <c r="B57" s="29" t="s">
        <v>266</v>
      </c>
      <c r="C57" s="29" t="s">
        <v>267</v>
      </c>
      <c r="D57" s="29" t="s">
        <v>268</v>
      </c>
      <c r="E57" s="29" t="s">
        <v>269</v>
      </c>
      <c r="F57" s="29" t="s">
        <v>98</v>
      </c>
    </row>
    <row r="58" spans="1:6" ht="58.2" thickBot="1" x14ac:dyDescent="0.35">
      <c r="A58" s="29">
        <v>1</v>
      </c>
      <c r="B58" s="29" t="s">
        <v>270</v>
      </c>
      <c r="C58" s="29"/>
      <c r="D58" s="29"/>
      <c r="E58" s="29"/>
      <c r="F58" s="29" t="s">
        <v>271</v>
      </c>
    </row>
    <row r="59" spans="1:6" ht="58.2" thickBot="1" x14ac:dyDescent="0.35">
      <c r="A59" s="29">
        <v>2</v>
      </c>
      <c r="B59" s="29" t="s">
        <v>272</v>
      </c>
      <c r="C59" s="29"/>
      <c r="D59" s="29"/>
      <c r="E59" s="29"/>
      <c r="F59" s="29" t="s">
        <v>273</v>
      </c>
    </row>
    <row r="60" spans="1:6" ht="58.2" thickBot="1" x14ac:dyDescent="0.35">
      <c r="A60" s="29">
        <v>3</v>
      </c>
      <c r="B60" s="29" t="s">
        <v>274</v>
      </c>
      <c r="C60" s="29"/>
      <c r="D60" s="29"/>
      <c r="E60" s="29"/>
      <c r="F60" s="29" t="s">
        <v>275</v>
      </c>
    </row>
    <row r="61" spans="1:6" ht="15" thickBot="1" x14ac:dyDescent="0.35">
      <c r="A61" s="27" t="s">
        <v>245</v>
      </c>
    </row>
    <row r="62" spans="1:6" ht="72.599999999999994" thickBot="1" x14ac:dyDescent="0.35">
      <c r="A62" s="29" t="s">
        <v>88</v>
      </c>
      <c r="B62" s="29" t="s">
        <v>266</v>
      </c>
      <c r="C62" s="29" t="s">
        <v>267</v>
      </c>
      <c r="D62" s="29" t="s">
        <v>268</v>
      </c>
      <c r="E62" s="29" t="s">
        <v>269</v>
      </c>
      <c r="F62" s="29" t="s">
        <v>98</v>
      </c>
    </row>
    <row r="63" spans="1:6" ht="15" thickBot="1" x14ac:dyDescent="0.35">
      <c r="A63" s="29">
        <v>1</v>
      </c>
      <c r="B63" s="29"/>
      <c r="C63" s="29"/>
      <c r="D63" s="29"/>
      <c r="E63" s="29"/>
      <c r="F63" s="29"/>
    </row>
    <row r="64" spans="1:6" ht="15" thickBot="1" x14ac:dyDescent="0.35">
      <c r="A64" s="29">
        <v>2</v>
      </c>
      <c r="B64" s="29"/>
      <c r="C64" s="29"/>
      <c r="D64" s="29"/>
      <c r="E64" s="29"/>
      <c r="F64" s="29"/>
    </row>
    <row r="65" spans="1:6" ht="15" thickBot="1" x14ac:dyDescent="0.35">
      <c r="A65" s="29">
        <v>3</v>
      </c>
      <c r="B65" s="29"/>
      <c r="C65" s="29"/>
      <c r="D65" s="29"/>
      <c r="E65" s="29"/>
      <c r="F65" s="29"/>
    </row>
    <row r="66" spans="1:6" ht="15" thickBot="1" x14ac:dyDescent="0.35">
      <c r="A66" s="27"/>
    </row>
    <row r="67" spans="1:6" ht="15" thickBot="1" x14ac:dyDescent="0.35">
      <c r="A67" s="29"/>
      <c r="B67" s="29"/>
      <c r="C67" s="29"/>
      <c r="D67" s="29"/>
      <c r="E67" s="29"/>
      <c r="F67" s="29"/>
    </row>
    <row r="68" spans="1:6" ht="15" thickBot="1" x14ac:dyDescent="0.35">
      <c r="A68" s="29"/>
      <c r="B68" s="29"/>
      <c r="C68" s="29"/>
      <c r="D68" s="29"/>
      <c r="E68" s="29"/>
      <c r="F68" s="29"/>
    </row>
    <row r="69" spans="1:6" ht="15" thickBot="1" x14ac:dyDescent="0.35">
      <c r="A69" s="29"/>
      <c r="B69" s="29"/>
      <c r="C69" s="29"/>
      <c r="D69" s="29"/>
      <c r="E69" s="29"/>
      <c r="F69" s="29"/>
    </row>
    <row r="70" spans="1:6" ht="15" thickBot="1" x14ac:dyDescent="0.35">
      <c r="A70" s="29"/>
      <c r="B70" s="29"/>
      <c r="C70" s="29"/>
      <c r="D70" s="29"/>
      <c r="E70" s="29"/>
      <c r="F70" s="29"/>
    </row>
    <row r="71" spans="1:6" ht="15" thickBot="1" x14ac:dyDescent="0.35">
      <c r="A71" s="27"/>
    </row>
    <row r="72" spans="1:6" ht="59.25" customHeight="1" thickBot="1" x14ac:dyDescent="0.35">
      <c r="A72" s="29"/>
      <c r="B72" s="29"/>
      <c r="C72" s="29"/>
      <c r="D72" s="29"/>
      <c r="E72" s="29"/>
      <c r="F72" s="29"/>
    </row>
    <row r="73" spans="1:6" ht="15" thickBot="1" x14ac:dyDescent="0.35">
      <c r="A73" s="29"/>
      <c r="B73" s="29"/>
      <c r="C73" s="29"/>
      <c r="D73" s="29"/>
      <c r="E73" s="29"/>
      <c r="F73" s="29"/>
    </row>
    <row r="74" spans="1:6" ht="15" thickBot="1" x14ac:dyDescent="0.35">
      <c r="A74" s="29"/>
      <c r="B74" s="29"/>
      <c r="C74" s="29"/>
      <c r="D74" s="29"/>
      <c r="E74" s="29"/>
      <c r="F74" s="29"/>
    </row>
    <row r="75" spans="1:6" ht="15" thickBot="1" x14ac:dyDescent="0.35">
      <c r="A75" s="29"/>
      <c r="B75" s="29"/>
      <c r="C75" s="29"/>
      <c r="D75" s="29"/>
      <c r="E75" s="29"/>
      <c r="F75" s="29"/>
    </row>
    <row r="76" spans="1:6" ht="15" thickBot="1" x14ac:dyDescent="0.35">
      <c r="A76" s="27"/>
    </row>
    <row r="77" spans="1:6" ht="15" thickBot="1" x14ac:dyDescent="0.35">
      <c r="A77" s="29"/>
      <c r="B77" s="29"/>
      <c r="C77" s="29"/>
      <c r="D77" s="29"/>
      <c r="E77" s="29"/>
      <c r="F77" s="29"/>
    </row>
    <row r="78" spans="1:6" ht="15" thickBot="1" x14ac:dyDescent="0.35">
      <c r="A78" s="29"/>
      <c r="B78" s="29"/>
      <c r="C78" s="29"/>
      <c r="D78" s="29"/>
      <c r="E78" s="29"/>
      <c r="F78" s="29"/>
    </row>
    <row r="79" spans="1:6" ht="15" thickBot="1" x14ac:dyDescent="0.35">
      <c r="A79" s="29"/>
      <c r="B79" s="29"/>
      <c r="C79" s="29"/>
      <c r="D79" s="29"/>
      <c r="E79" s="29"/>
      <c r="F79" s="29"/>
    </row>
    <row r="80" spans="1:6" ht="15" thickBot="1" x14ac:dyDescent="0.35">
      <c r="A80" s="29"/>
      <c r="B80" s="29"/>
      <c r="C80" s="29"/>
      <c r="D80" s="29"/>
      <c r="E80" s="29"/>
      <c r="F80" s="29"/>
    </row>
    <row r="81" spans="1:6" ht="15" thickBot="1" x14ac:dyDescent="0.35">
      <c r="A81" s="27"/>
    </row>
    <row r="82" spans="1:6" ht="15" thickBot="1" x14ac:dyDescent="0.35">
      <c r="A82" s="29"/>
      <c r="B82" s="29"/>
      <c r="C82" s="29"/>
      <c r="D82" s="29"/>
      <c r="E82" s="29"/>
      <c r="F82" s="29"/>
    </row>
    <row r="83" spans="1:6" ht="15" thickBot="1" x14ac:dyDescent="0.35">
      <c r="A83" s="29"/>
      <c r="B83" s="29"/>
      <c r="C83" s="29"/>
      <c r="D83" s="29"/>
      <c r="E83" s="29"/>
      <c r="F83" s="29"/>
    </row>
    <row r="84" spans="1:6" ht="15" thickBot="1" x14ac:dyDescent="0.35">
      <c r="A84" s="29"/>
      <c r="B84" s="29"/>
      <c r="C84" s="29"/>
      <c r="D84" s="29"/>
      <c r="E84" s="29"/>
      <c r="F84" s="29"/>
    </row>
    <row r="85" spans="1:6" ht="15" thickBot="1" x14ac:dyDescent="0.35">
      <c r="A85" s="29"/>
      <c r="B85" s="29"/>
      <c r="C85" s="29"/>
      <c r="D85" s="29"/>
      <c r="E85" s="29"/>
      <c r="F85" s="29"/>
    </row>
    <row r="86" spans="1:6" ht="15" thickBot="1" x14ac:dyDescent="0.35">
      <c r="A86" s="27"/>
    </row>
    <row r="87" spans="1:6" ht="59.25" customHeight="1" x14ac:dyDescent="0.3">
      <c r="A87" s="69"/>
      <c r="B87" s="69"/>
      <c r="C87" s="69"/>
      <c r="D87" s="69"/>
      <c r="E87" s="33"/>
      <c r="F87" s="69"/>
    </row>
    <row r="88" spans="1:6" ht="15" thickBot="1" x14ac:dyDescent="0.35">
      <c r="A88" s="71"/>
      <c r="B88" s="71"/>
      <c r="C88" s="71"/>
      <c r="D88" s="71"/>
      <c r="E88" s="34"/>
      <c r="F88" s="71"/>
    </row>
    <row r="89" spans="1:6" ht="15" thickBot="1" x14ac:dyDescent="0.35">
      <c r="A89" s="35"/>
      <c r="B89" s="35"/>
      <c r="C89" s="40"/>
      <c r="D89" s="35"/>
      <c r="E89" s="35"/>
      <c r="F89" s="36"/>
    </row>
    <row r="90" spans="1:6" ht="15" thickBot="1" x14ac:dyDescent="0.35">
      <c r="A90" s="36"/>
      <c r="B90" s="36"/>
      <c r="C90" s="36"/>
      <c r="D90" s="36"/>
      <c r="E90" s="36"/>
      <c r="F90" s="36"/>
    </row>
    <row r="91" spans="1:6" ht="15" thickBot="1" x14ac:dyDescent="0.35">
      <c r="A91" s="36"/>
      <c r="B91" s="36"/>
      <c r="C91" s="36"/>
      <c r="D91" s="36"/>
      <c r="E91" s="36"/>
      <c r="F91" s="36"/>
    </row>
    <row r="92" spans="1:6" ht="15" thickBot="1" x14ac:dyDescent="0.35">
      <c r="A92" s="27"/>
    </row>
    <row r="93" spans="1:6" ht="15" thickBot="1" x14ac:dyDescent="0.35">
      <c r="A93" s="29"/>
      <c r="B93" s="29"/>
      <c r="C93" s="29"/>
      <c r="D93" s="29"/>
      <c r="E93" s="29"/>
      <c r="F93" s="29"/>
    </row>
    <row r="94" spans="1:6" ht="15" thickBot="1" x14ac:dyDescent="0.35">
      <c r="A94" s="29"/>
      <c r="B94" s="49"/>
      <c r="C94" s="51"/>
      <c r="D94" s="29"/>
      <c r="E94" s="29"/>
      <c r="F94" s="29"/>
    </row>
    <row r="95" spans="1:6" ht="15" thickBot="1" x14ac:dyDescent="0.35">
      <c r="A95" s="29"/>
      <c r="B95" s="29"/>
      <c r="C95" s="29"/>
      <c r="D95" s="29"/>
      <c r="E95" s="29"/>
      <c r="F95" s="29"/>
    </row>
    <row r="96" spans="1:6" ht="15" thickBot="1" x14ac:dyDescent="0.35">
      <c r="A96" s="29"/>
      <c r="B96" s="29"/>
      <c r="C96" s="29"/>
      <c r="D96" s="29"/>
      <c r="E96" s="29"/>
      <c r="F96" s="29"/>
    </row>
  </sheetData>
  <mergeCells count="5">
    <mergeCell ref="A87:A88"/>
    <mergeCell ref="B87:B88"/>
    <mergeCell ref="C87:C88"/>
    <mergeCell ref="D87:D88"/>
    <mergeCell ref="F87:F8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61423DF8B2184EB8F84B405B7E8219" ma:contentTypeVersion="34" ma:contentTypeDescription="Create a new document." ma:contentTypeScope="" ma:versionID="47a459fef72aa9b54c1b91e68d476690">
  <xsd:schema xmlns:xsd="http://www.w3.org/2001/XMLSchema" xmlns:xs="http://www.w3.org/2001/XMLSchema" xmlns:p="http://schemas.microsoft.com/office/2006/metadata/properties" xmlns:ns1="http://schemas.microsoft.com/sharepoint/v3" xmlns:ns2="48ab249d-9c32-4d40-9c79-d6846b24ee80" xmlns:ns3="3fd4aefc-11f5-49b5-a312-6b87bf493176" targetNamespace="http://schemas.microsoft.com/office/2006/metadata/properties" ma:root="true" ma:fieldsID="c6587e5672a3cf78aab230af29d9ae7e" ns1:_="" ns2:_="" ns3:_="">
    <xsd:import namespace="http://schemas.microsoft.com/sharepoint/v3"/>
    <xsd:import namespace="48ab249d-9c32-4d40-9c79-d6846b24ee80"/>
    <xsd:import namespace="3fd4aefc-11f5-49b5-a312-6b87bf4931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_Flow_SignoffStatus" minOccurs="0"/>
                <xsd:element ref="ns2:MediaServiceAutoKeyPoints" minOccurs="0"/>
                <xsd:element ref="ns2:MediaServiceKeyPoints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Completato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ab249d-9c32-4d40-9c79-d6846b24ee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Flow_SignoffStatus" ma:index="12" nillable="true" ma:displayName="Sign-off status" ma:internalName="Sign_x002d_off_x0020_status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1198adac-b7c3-4029-acb3-9a3d2f3220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6" nillable="true" ma:displayName="MediaLengthInSeconds" ma:hidden="true" ma:internalName="MediaLengthInSeconds" ma:readOnly="true">
      <xsd:simpleType>
        <xsd:restriction base="dms:Unknown"/>
      </xsd:simpleType>
    </xsd:element>
    <xsd:element name="Completato" ma:index="27" nillable="true" ma:displayName="Completato" ma:format="Dropdown" ma:internalName="Completato">
      <xsd:simpleType>
        <xsd:restriction base="dms:Choice">
          <xsd:enumeration value="Scelta 1"/>
          <xsd:enumeration value="Scelta 2"/>
          <xsd:enumeration value="Scelta 3"/>
        </xsd:restriction>
      </xsd:simpleType>
    </xsd:element>
    <xsd:element name="MediaServiceLocation" ma:index="2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d4aefc-11f5-49b5-a312-6b87bf49317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ede83eae-8ea2-4ecd-bd6f-482e8771afce}" ma:internalName="TaxCatchAll" ma:showField="CatchAllData" ma:web="3fd4aefc-11f5-49b5-a312-6b87bf4931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fd4aefc-11f5-49b5-a312-6b87bf493176" xsi:nil="true"/>
    <_ip_UnifiedCompliancePolicyUIAction xmlns="http://schemas.microsoft.com/sharepoint/v3" xsi:nil="true"/>
    <_Flow_SignoffStatus xmlns="48ab249d-9c32-4d40-9c79-d6846b24ee80" xsi:nil="true"/>
    <_ip_UnifiedCompliancePolicyProperties xmlns="http://schemas.microsoft.com/sharepoint/v3" xsi:nil="true"/>
    <lcf76f155ced4ddcb4097134ff3c332f xmlns="48ab249d-9c32-4d40-9c79-d6846b24ee80">
      <Terms xmlns="http://schemas.microsoft.com/office/infopath/2007/PartnerControls"/>
    </lcf76f155ced4ddcb4097134ff3c332f>
    <Completato xmlns="48ab249d-9c32-4d40-9c79-d6846b24ee80" xsi:nil="true"/>
  </documentManagement>
</p:properties>
</file>

<file path=customXml/itemProps1.xml><?xml version="1.0" encoding="utf-8"?>
<ds:datastoreItem xmlns:ds="http://schemas.openxmlformats.org/officeDocument/2006/customXml" ds:itemID="{747D9D35-8FEB-411F-A8F9-331BFB5240E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FC5E037-53BA-419D-A841-437E5E113E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8ab249d-9c32-4d40-9c79-d6846b24ee80"/>
    <ds:schemaRef ds:uri="3fd4aefc-11f5-49b5-a312-6b87bf4931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6E88D68-3F2C-437B-8DC4-B10FBA30E713}">
  <ds:schemaRefs>
    <ds:schemaRef ds:uri="http://schemas.microsoft.com/office/2006/metadata/properties"/>
    <ds:schemaRef ds:uri="http://schemas.microsoft.com/office/infopath/2007/PartnerControls"/>
    <ds:schemaRef ds:uri="3fd4aefc-11f5-49b5-a312-6b87bf493176"/>
    <ds:schemaRef ds:uri="http://schemas.microsoft.com/sharepoint/v3"/>
    <ds:schemaRef ds:uri="48ab249d-9c32-4d40-9c79-d6846b24ee80"/>
  </ds:schemaRefs>
</ds:datastoreItem>
</file>

<file path=docMetadata/LabelInfo.xml><?xml version="1.0" encoding="utf-8"?>
<clbl:labelList xmlns:clbl="http://schemas.microsoft.com/office/2020/mipLabelMetadata">
  <clbl:label id="{1bc64772-dfe5-478a-9847-8312824c89da}" enabled="1" method="Privileged" siteId="{75584e34-72c0-4772-b459-a9fe78fec27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12</vt:i4>
      </vt:variant>
    </vt:vector>
  </HeadingPairs>
  <TitlesOfParts>
    <vt:vector size="12" baseType="lpstr">
      <vt:lpstr>Elenco_ADO_IKAN</vt:lpstr>
      <vt:lpstr>Elenco_SR</vt:lpstr>
      <vt:lpstr>Applicazioni</vt:lpstr>
      <vt:lpstr>Vincoli</vt:lpstr>
      <vt:lpstr>App Mainframe o Tuxedo</vt:lpstr>
      <vt:lpstr>App Windows o Linux</vt:lpstr>
      <vt:lpstr>Attività per HD2-UNIX</vt:lpstr>
      <vt:lpstr>Attività per HD2-SYSTEMS</vt:lpstr>
      <vt:lpstr>Attività per HD2-DBA-ORACLE</vt:lpstr>
      <vt:lpstr>Attività per HD2-DBA-SQL</vt:lpstr>
      <vt:lpstr>PEGA</vt:lpstr>
      <vt:lpstr>Schedulazione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GRAGLIA Massimo</dc:creator>
  <cp:keywords/>
  <dc:description/>
  <cp:lastModifiedBy>GRAGLIA Massimo</cp:lastModifiedBy>
  <cp:revision/>
  <dcterms:created xsi:type="dcterms:W3CDTF">2015-06-05T18:17:20Z</dcterms:created>
  <dcterms:modified xsi:type="dcterms:W3CDTF">2026-08-28T13:30:51Z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c64772-dfe5-478a-9847-8312824c89da_Enabled">
    <vt:lpwstr>true</vt:lpwstr>
  </property>
  <property fmtid="{D5CDD505-2E9C-101B-9397-08002B2CF9AE}" pid="3" name="MSIP_Label_1bc64772-dfe5-478a-9847-8312824c89da_SetDate">
    <vt:lpwstr>2024-05-29T13:09:31Z</vt:lpwstr>
  </property>
  <property fmtid="{D5CDD505-2E9C-101B-9397-08002B2CF9AE}" pid="4" name="MSIP_Label_1bc64772-dfe5-478a-9847-8312824c89da_Method">
    <vt:lpwstr>Privileged</vt:lpwstr>
  </property>
  <property fmtid="{D5CDD505-2E9C-101B-9397-08002B2CF9AE}" pid="5" name="MSIP_Label_1bc64772-dfe5-478a-9847-8312824c89da_Name">
    <vt:lpwstr>1bc64772-dfe5-478a-9847-8312824c89da</vt:lpwstr>
  </property>
  <property fmtid="{D5CDD505-2E9C-101B-9397-08002B2CF9AE}" pid="6" name="MSIP_Label_1bc64772-dfe5-478a-9847-8312824c89da_SiteId">
    <vt:lpwstr>75584e34-72c0-4772-b459-a9fe78fec27c</vt:lpwstr>
  </property>
  <property fmtid="{D5CDD505-2E9C-101B-9397-08002B2CF9AE}" pid="7" name="MSIP_Label_1bc64772-dfe5-478a-9847-8312824c89da_ActionId">
    <vt:lpwstr>f34ef547-2963-483d-8d01-0ae6f9dbbe77</vt:lpwstr>
  </property>
  <property fmtid="{D5CDD505-2E9C-101B-9397-08002B2CF9AE}" pid="8" name="MSIP_Label_1bc64772-dfe5-478a-9847-8312824c89da_ContentBits">
    <vt:lpwstr>0</vt:lpwstr>
  </property>
  <property fmtid="{D5CDD505-2E9C-101B-9397-08002B2CF9AE}" pid="9" name="ContentTypeId">
    <vt:lpwstr>0x010100C161423DF8B2184EB8F84B405B7E8219</vt:lpwstr>
  </property>
  <property fmtid="{D5CDD505-2E9C-101B-9397-08002B2CF9AE}" pid="10" name="MSIP_Label_83f26ff2-23c4-4f48-bd1a-7194590f2f67_ActionId">
    <vt:lpwstr>e8f8f634-c212-4eb8-b174-028e46d52e4a</vt:lpwstr>
  </property>
  <property fmtid="{D5CDD505-2E9C-101B-9397-08002B2CF9AE}" pid="11" name="MSIP_Label_83f26ff2-23c4-4f48-bd1a-7194590f2f67_SetDate">
    <vt:lpwstr>2024-05-29T12:54:18Z</vt:lpwstr>
  </property>
  <property fmtid="{D5CDD505-2E9C-101B-9397-08002B2CF9AE}" pid="12" name="MSIP_Label_83f26ff2-23c4-4f48-bd1a-7194590f2f67_SiteId">
    <vt:lpwstr>75584e34-72c0-4772-b459-a9fe78fec27c</vt:lpwstr>
  </property>
  <property fmtid="{D5CDD505-2E9C-101B-9397-08002B2CF9AE}" pid="13" name="MSIP_Label_83f26ff2-23c4-4f48-bd1a-7194590f2f67_Method">
    <vt:lpwstr>Standard</vt:lpwstr>
  </property>
  <property fmtid="{D5CDD505-2E9C-101B-9397-08002B2CF9AE}" pid="14" name="MSIP_Label_83f26ff2-23c4-4f48-bd1a-7194590f2f67_Name">
    <vt:lpwstr>83f26ff2-23c4-4f48-bd1a-7194590f2f67</vt:lpwstr>
  </property>
  <property fmtid="{D5CDD505-2E9C-101B-9397-08002B2CF9AE}" pid="15" name="MSIP_Label_83f26ff2-23c4-4f48-bd1a-7194590f2f67_ContentBits">
    <vt:lpwstr>0</vt:lpwstr>
  </property>
  <property fmtid="{D5CDD505-2E9C-101B-9397-08002B2CF9AE}" pid="16" name="MSIP_Label_83f26ff2-23c4-4f48-bd1a-7194590f2f67_Enabled">
    <vt:lpwstr>true</vt:lpwstr>
  </property>
  <property fmtid="{D5CDD505-2E9C-101B-9397-08002B2CF9AE}" pid="17" name="MediaServiceImageTags">
    <vt:lpwstr/>
  </property>
</Properties>
</file>